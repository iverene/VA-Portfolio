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verene Grace\Virtual Assistant Files\Portfolio\Data and Spreadsheet Management\"/>
    </mc:Choice>
  </mc:AlternateContent>
  <xr:revisionPtr revIDLastSave="0" documentId="13_ncr:20001_{18066E36-C620-4F52-B633-627757F5CDE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Raw Data" sheetId="2" r:id="rId1"/>
    <sheet name="Clean Data" sheetId="4" r:id="rId2"/>
  </sheets>
  <definedNames>
    <definedName name="_xlnm._FilterDatabase" localSheetId="1" hidden="1">'Clean Data'!$A$1:$O$51</definedName>
    <definedName name="_xlnm._FilterDatabase" localSheetId="0" hidden="1">'Raw Data'!$A$1:$J$53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0" i="4" l="1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1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</calcChain>
</file>

<file path=xl/sharedStrings.xml><?xml version="1.0" encoding="utf-8"?>
<sst xmlns="http://schemas.openxmlformats.org/spreadsheetml/2006/main" count="894" uniqueCount="314">
  <si>
    <t>Client ID</t>
  </si>
  <si>
    <t>Last Name</t>
  </si>
  <si>
    <t>First Name</t>
  </si>
  <si>
    <t>Email</t>
  </si>
  <si>
    <t>Phone</t>
  </si>
  <si>
    <t>City</t>
  </si>
  <si>
    <t>Country</t>
  </si>
  <si>
    <t>Client Since</t>
  </si>
  <si>
    <t>Status</t>
  </si>
  <si>
    <t>Source</t>
  </si>
  <si>
    <t>Santos</t>
  </si>
  <si>
    <t>Maria</t>
  </si>
  <si>
    <t>maria.santos@gmail.com</t>
  </si>
  <si>
    <t>09171234567</t>
  </si>
  <si>
    <t>Batangas City</t>
  </si>
  <si>
    <t>Philippines</t>
  </si>
  <si>
    <t>Active</t>
  </si>
  <si>
    <t>Online</t>
  </si>
  <si>
    <t>John</t>
  </si>
  <si>
    <t>john.reyes@gmail.com</t>
  </si>
  <si>
    <t>09181234568</t>
  </si>
  <si>
    <t>Lipa City</t>
  </si>
  <si>
    <t>Referral</t>
  </si>
  <si>
    <t>Angela</t>
  </si>
  <si>
    <t>angela.garcia@gmail.com</t>
  </si>
  <si>
    <t>09191234569</t>
  </si>
  <si>
    <t>Tanauan City</t>
  </si>
  <si>
    <t>Inactive</t>
  </si>
  <si>
    <t>Website</t>
  </si>
  <si>
    <t>Daniel</t>
  </si>
  <si>
    <t>daniel.cruz@gmail.com</t>
  </si>
  <si>
    <t>09201234570</t>
  </si>
  <si>
    <t>Calamba City</t>
  </si>
  <si>
    <t>Facebook</t>
  </si>
  <si>
    <t>Sofia</t>
  </si>
  <si>
    <t>sofia.mendoza@gmail.com</t>
  </si>
  <si>
    <t>09211234571</t>
  </si>
  <si>
    <t>Malvar</t>
  </si>
  <si>
    <t>Prospect</t>
  </si>
  <si>
    <t>Navarro</t>
  </si>
  <si>
    <t>paolo.navarro@gmail.com</t>
  </si>
  <si>
    <t>09221234572</t>
  </si>
  <si>
    <t>Balayan</t>
  </si>
  <si>
    <t>Torres</t>
  </si>
  <si>
    <t>camille.torres@gmail.com</t>
  </si>
  <si>
    <t>09231234573</t>
  </si>
  <si>
    <t>Nasugbu</t>
  </si>
  <si>
    <t>Flores</t>
  </si>
  <si>
    <t>miguel.flores@gmail.com</t>
  </si>
  <si>
    <t>09241234574</t>
  </si>
  <si>
    <t>Bauan</t>
  </si>
  <si>
    <t>Ramos</t>
  </si>
  <si>
    <t>Ella</t>
  </si>
  <si>
    <t>ella.ramos@gmail.com</t>
  </si>
  <si>
    <t>09251234575</t>
  </si>
  <si>
    <t>Tuy</t>
  </si>
  <si>
    <t>Castillo</t>
  </si>
  <si>
    <t>Kevin</t>
  </si>
  <si>
    <t>kevin.castillo@gmail.com</t>
  </si>
  <si>
    <t>09261234576</t>
  </si>
  <si>
    <t>Lemery</t>
  </si>
  <si>
    <t>Aquino</t>
  </si>
  <si>
    <t>Nicole</t>
  </si>
  <si>
    <t>nicole.aquino@gmail.com</t>
  </si>
  <si>
    <t>09271234577</t>
  </si>
  <si>
    <t>Mabini</t>
  </si>
  <si>
    <t>Villanueva</t>
  </si>
  <si>
    <t>Mark</t>
  </si>
  <si>
    <t>mark.villanueva@gmail.com</t>
  </si>
  <si>
    <t>09281234578</t>
  </si>
  <si>
    <t>Agoncillo</t>
  </si>
  <si>
    <t>Bautista</t>
  </si>
  <si>
    <t>Chloe</t>
  </si>
  <si>
    <t>chloe.bautista@gmail.com</t>
  </si>
  <si>
    <t>09291234579</t>
  </si>
  <si>
    <t>Laurel</t>
  </si>
  <si>
    <t>Dela Cruz</t>
  </si>
  <si>
    <t>Joshua</t>
  </si>
  <si>
    <t>joshua.delacruz@gmail.com</t>
  </si>
  <si>
    <t>09301234580</t>
  </si>
  <si>
    <t>Domingo</t>
  </si>
  <si>
    <t>Bea</t>
  </si>
  <si>
    <t>bea.domingo@gmail.com</t>
  </si>
  <si>
    <t>09311234581</t>
  </si>
  <si>
    <t>Cuenca</t>
  </si>
  <si>
    <t>Manalo</t>
  </si>
  <si>
    <t>Ryan</t>
  </si>
  <si>
    <t>ryan.manalo@gmail.com</t>
  </si>
  <si>
    <t>09321234582</t>
  </si>
  <si>
    <t>San Jose</t>
  </si>
  <si>
    <t>Gonzales</t>
  </si>
  <si>
    <t>Trisha</t>
  </si>
  <si>
    <t>trisha.gonzales@gmail.com</t>
  </si>
  <si>
    <t>09331234583</t>
  </si>
  <si>
    <t>Ibaan</t>
  </si>
  <si>
    <t>Fernandez</t>
  </si>
  <si>
    <t>Luis</t>
  </si>
  <si>
    <t>luis.fernandez@gmail.com</t>
  </si>
  <si>
    <t>09341234584</t>
  </si>
  <si>
    <t>Rosario</t>
  </si>
  <si>
    <t>Hernandez</t>
  </si>
  <si>
    <t>Anne</t>
  </si>
  <si>
    <t>anne.hernandez@gmail.com</t>
  </si>
  <si>
    <t>09351234585</t>
  </si>
  <si>
    <t>Padre Garcia</t>
  </si>
  <si>
    <t>Santiago</t>
  </si>
  <si>
    <t>Carlo</t>
  </si>
  <si>
    <t>carlo.santiago@gmail.com</t>
  </si>
  <si>
    <t>09361234586</t>
  </si>
  <si>
    <t>Taysan</t>
  </si>
  <si>
    <t>Mercado</t>
  </si>
  <si>
    <t>Jasmine</t>
  </si>
  <si>
    <t>jasmine.mercado@gmail.com</t>
  </si>
  <si>
    <t>09371234587</t>
  </si>
  <si>
    <t>San Pascual</t>
  </si>
  <si>
    <t>Rivera</t>
  </si>
  <si>
    <t>Nathan</t>
  </si>
  <si>
    <t>nathan.rivera@gmail.com</t>
  </si>
  <si>
    <t>09381234588</t>
  </si>
  <si>
    <t>Ocampo</t>
  </si>
  <si>
    <t>Leah</t>
  </si>
  <si>
    <t>leah.ocampo@gmail.com</t>
  </si>
  <si>
    <t>09391234589</t>
  </si>
  <si>
    <t>Pascual</t>
  </si>
  <si>
    <t>Andre</t>
  </si>
  <si>
    <t>andre.pascual@gmail.com</t>
  </si>
  <si>
    <t>09401234590</t>
  </si>
  <si>
    <t>Valdez</t>
  </si>
  <si>
    <t>mia.valdez@gmail.com</t>
  </si>
  <si>
    <t>09411234591</t>
  </si>
  <si>
    <t>Salazar</t>
  </si>
  <si>
    <t>Ethan</t>
  </si>
  <si>
    <t>ethan.salazar@gmail.com</t>
  </si>
  <si>
    <t>09421234592</t>
  </si>
  <si>
    <t>Calaca</t>
  </si>
  <si>
    <t>Soriano</t>
  </si>
  <si>
    <t>kate.soriano@gmail.com</t>
  </si>
  <si>
    <t>09431234593</t>
  </si>
  <si>
    <t>Marquez</t>
  </si>
  <si>
    <t>Adrian</t>
  </si>
  <si>
    <t>adrian.marquez@gmail.com</t>
  </si>
  <si>
    <t>09441234594</t>
  </si>
  <si>
    <t>Padilla</t>
  </si>
  <si>
    <t>Lara</t>
  </si>
  <si>
    <t>lara.padilla@gmail.com</t>
  </si>
  <si>
    <t>09451234595</t>
  </si>
  <si>
    <t>Estrada</t>
  </si>
  <si>
    <t>Noah</t>
  </si>
  <si>
    <t>noah.estrada@gmail.com</t>
  </si>
  <si>
    <t>09461234596</t>
  </si>
  <si>
    <t>Taal</t>
  </si>
  <si>
    <t>Cabrera</t>
  </si>
  <si>
    <t>Ivy</t>
  </si>
  <si>
    <t>ivy.cabrera@gmail.com</t>
  </si>
  <si>
    <t>09471234597</t>
  </si>
  <si>
    <t>Alvarez</t>
  </si>
  <si>
    <t>Sean</t>
  </si>
  <si>
    <t>sean.alvarez@gmail.com</t>
  </si>
  <si>
    <t>09481234598</t>
  </si>
  <si>
    <t>Rina</t>
  </si>
  <si>
    <t>rina.magsaysay@gmail.com</t>
  </si>
  <si>
    <t>09491234599</t>
  </si>
  <si>
    <t>Tan</t>
  </si>
  <si>
    <t>Lucas</t>
  </si>
  <si>
    <t>lucas.tan@gmail.com</t>
  </si>
  <si>
    <t>09501234600</t>
  </si>
  <si>
    <t>Lim</t>
  </si>
  <si>
    <t>grace.lim@gmail.com</t>
  </si>
  <si>
    <t>09511234601</t>
  </si>
  <si>
    <t>San Pablo City</t>
  </si>
  <si>
    <t>Chua</t>
  </si>
  <si>
    <t>Eli</t>
  </si>
  <si>
    <t>eli.chua@gmail.com</t>
  </si>
  <si>
    <t>09521234602</t>
  </si>
  <si>
    <t>Sy</t>
  </si>
  <si>
    <t>Nina</t>
  </si>
  <si>
    <t>nina.sy@gmail.com</t>
  </si>
  <si>
    <t>09531234603</t>
  </si>
  <si>
    <t>Co</t>
  </si>
  <si>
    <t>Dylan</t>
  </si>
  <si>
    <t>dylan.co@gmail.com</t>
  </si>
  <si>
    <t>09541234604</t>
  </si>
  <si>
    <t>Go</t>
  </si>
  <si>
    <t>Mara</t>
  </si>
  <si>
    <t>mara.go@gmail.com</t>
  </si>
  <si>
    <t>09551234605</t>
  </si>
  <si>
    <t>Yap</t>
  </si>
  <si>
    <t>Theo</t>
  </si>
  <si>
    <t>theo.yap@gmail.com</t>
  </si>
  <si>
    <t>09561234606</t>
  </si>
  <si>
    <t>Uy</t>
  </si>
  <si>
    <t>Jessa</t>
  </si>
  <si>
    <t>jessa.uy@gmail.com</t>
  </si>
  <si>
    <t>09571234607</t>
  </si>
  <si>
    <t>Cheng</t>
  </si>
  <si>
    <t>Aaron</t>
  </si>
  <si>
    <t>aaron.cheng@gmail.com</t>
  </si>
  <si>
    <t>09581234608</t>
  </si>
  <si>
    <t>Bianca</t>
  </si>
  <si>
    <t>bianca.lim@gmail.com</t>
  </si>
  <si>
    <t>09591234609</t>
  </si>
  <si>
    <t>Marco</t>
  </si>
  <si>
    <t>marco.tan@gmail.com</t>
  </si>
  <si>
    <t>09601234610</t>
  </si>
  <si>
    <t>Lee</t>
  </si>
  <si>
    <t>Alyssa</t>
  </si>
  <si>
    <t>alyssa.lee@gmail.com</t>
  </si>
  <si>
    <t>09611234611</t>
  </si>
  <si>
    <t>Choi</t>
  </si>
  <si>
    <t>ryan.choi@gmail.com</t>
  </si>
  <si>
    <t>09621234612</t>
  </si>
  <si>
    <t>Khan</t>
  </si>
  <si>
    <t>Sara</t>
  </si>
  <si>
    <t>sara.khan@gmail.com</t>
  </si>
  <si>
    <t>09631234613</t>
  </si>
  <si>
    <t>Wilson</t>
  </si>
  <si>
    <t>James</t>
  </si>
  <si>
    <t>james.wilson@gmail.com</t>
  </si>
  <si>
    <t>09641234614</t>
  </si>
  <si>
    <t>Brown</t>
  </si>
  <si>
    <t>Emma</t>
  </si>
  <si>
    <t>emma.brown@gmail.com</t>
  </si>
  <si>
    <t>09651234615</t>
  </si>
  <si>
    <t>Taylor</t>
  </si>
  <si>
    <t>Olivia</t>
  </si>
  <si>
    <t>olivia.taylor@gmail.com</t>
  </si>
  <si>
    <t>09661234616</t>
  </si>
  <si>
    <t>2026-01-08</t>
  </si>
  <si>
    <t xml:space="preserve"> reyes </t>
  </si>
  <si>
    <t>2026-01-12</t>
  </si>
  <si>
    <t>GARCIA</t>
  </si>
  <si>
    <t>2026-01-15</t>
  </si>
  <si>
    <t>cruz</t>
  </si>
  <si>
    <t>2026-01-19</t>
  </si>
  <si>
    <t xml:space="preserve">MENDOZA </t>
  </si>
  <si>
    <t>2026-01-23</t>
  </si>
  <si>
    <t xml:space="preserve"> paolo</t>
  </si>
  <si>
    <t>2026-01-28</t>
  </si>
  <si>
    <t>CAMILLE</t>
  </si>
  <si>
    <t>2026-02-02</t>
  </si>
  <si>
    <t xml:space="preserve">miguel </t>
  </si>
  <si>
    <t>2026-02-06</t>
  </si>
  <si>
    <t>ella.ramos @gmail.com</t>
  </si>
  <si>
    <t>2026-02-11</t>
  </si>
  <si>
    <t xml:space="preserve">kevin.castillo@gmail.com </t>
  </si>
  <si>
    <t>2026-02-14</t>
  </si>
  <si>
    <t>0927 123 4577</t>
  </si>
  <si>
    <t>2026-02-18</t>
  </si>
  <si>
    <t>0928-123-4578</t>
  </si>
  <si>
    <t>2026-02-22</t>
  </si>
  <si>
    <t>laurel</t>
  </si>
  <si>
    <t>2026-02-26</t>
  </si>
  <si>
    <t>Mataas na kahoy</t>
  </si>
  <si>
    <t>2026-03-03</t>
  </si>
  <si>
    <t>03/07/2026</t>
  </si>
  <si>
    <t>March 11, 2026</t>
  </si>
  <si>
    <t>2026/03/15</t>
  </si>
  <si>
    <t>2026-03-19</t>
  </si>
  <si>
    <t>active</t>
  </si>
  <si>
    <t>2026-03-24</t>
  </si>
  <si>
    <t>PROSPECT</t>
  </si>
  <si>
    <t>2026-03-28</t>
  </si>
  <si>
    <t xml:space="preserve">active </t>
  </si>
  <si>
    <t>2026-04-02</t>
  </si>
  <si>
    <t>facebook</t>
  </si>
  <si>
    <t>2026-04-06</t>
  </si>
  <si>
    <t xml:space="preserve"> WEBSITE </t>
  </si>
  <si>
    <t xml:space="preserve">philippines </t>
  </si>
  <si>
    <t>2026-04-10</t>
  </si>
  <si>
    <t>PHILIPPINES</t>
  </si>
  <si>
    <t>2026-04-14</t>
  </si>
  <si>
    <t>mia</t>
  </si>
  <si>
    <t>2026-04-18</t>
  </si>
  <si>
    <t>ethan.salazar @gmail.com</t>
  </si>
  <si>
    <t>2026-04-22</t>
  </si>
  <si>
    <t xml:space="preserve"> kate </t>
  </si>
  <si>
    <t>2026-04-26</t>
  </si>
  <si>
    <t>NASUGBU</t>
  </si>
  <si>
    <t>2026-04-30</t>
  </si>
  <si>
    <t xml:space="preserve">bauan </t>
  </si>
  <si>
    <t>2026-05-04</t>
  </si>
  <si>
    <t>05-08-2026</t>
  </si>
  <si>
    <t>2026-05-12</t>
  </si>
  <si>
    <t>2026-05-16</t>
  </si>
  <si>
    <t>MAGSAYSAY</t>
  </si>
  <si>
    <t>2026-05-20</t>
  </si>
  <si>
    <t xml:space="preserve"> tan</t>
  </si>
  <si>
    <t>2026-05-24</t>
  </si>
  <si>
    <t>grace</t>
  </si>
  <si>
    <t>2026-05-28</t>
  </si>
  <si>
    <t>2026-06-01</t>
  </si>
  <si>
    <t xml:space="preserve">nina.sy@gmail.com </t>
  </si>
  <si>
    <t>2026-06-05</t>
  </si>
  <si>
    <t>2026-06-09</t>
  </si>
  <si>
    <t>2026-06-13</t>
  </si>
  <si>
    <t>2026-06-17</t>
  </si>
  <si>
    <t>ACTIVE</t>
  </si>
  <si>
    <t>2026-06-21</t>
  </si>
  <si>
    <t>2026-06-25</t>
  </si>
  <si>
    <t>2026-06-29</t>
  </si>
  <si>
    <t>2026-07-03</t>
  </si>
  <si>
    <t>2026-07-07</t>
  </si>
  <si>
    <t>FACEBOOK</t>
  </si>
  <si>
    <t>2026-07-11</t>
  </si>
  <si>
    <t>2026-07-15</t>
  </si>
  <si>
    <t>2026-07-19</t>
  </si>
  <si>
    <t>July 23 2026</t>
  </si>
  <si>
    <t>2026-07-27</t>
  </si>
  <si>
    <t>City (Raw)</t>
  </si>
  <si>
    <t>Last Name (Raw)</t>
  </si>
  <si>
    <t>First Name (Raw)</t>
  </si>
  <si>
    <t>Country (Raw)</t>
  </si>
  <si>
    <t>Status (Raw)</t>
  </si>
  <si>
    <t>Source (Raw)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</si>
</sst>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/>
    <xf numFmtId="166" fontId="0" fillId="0" borderId="0" xfId="0" applyNumberFormat="1"/>
    <xf numFmtId="166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9">
    <dxf>
      <numFmt numFmtId="166" formatCode="yyyy\-mm\-dd;@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6F5930-8EC8-4186-9763-7113E6DFAD77}" name="Table2" displayName="Table2" ref="A1:P51" totalsRowShown="0" headerRowDxfId="8">
  <autoFilter ref="A1:P51" xr:uid="{00000000-0009-0000-0000-000001000000}"/>
  <tableColumns count="16">
    <tableColumn id="1" xr3:uid="{7792EF36-1598-42F3-B579-ABC0C3B9953D}" name="Client ID"/>
    <tableColumn id="2" xr3:uid="{405BE674-7EB3-4E37-A517-D8C732486350}" name="Last Name (Raw)"/>
    <tableColumn id="12" xr3:uid="{4E7098BE-FA58-42E8-B5BE-8C6FFBB43A04}" name="Last Name" dataDxfId="7">
      <calculatedColumnFormula>PROPER(TRIM(B2))</calculatedColumnFormula>
    </tableColumn>
    <tableColumn id="3" xr3:uid="{B9878A0E-AC65-454E-B1F1-965B83AC89E2}" name="First Name (Raw)"/>
    <tableColumn id="13" xr3:uid="{82559D3E-CA98-42B7-822B-95A1809EB27F}" name="First Name" dataDxfId="6">
      <calculatedColumnFormula>PROPER(TRIM(D2))</calculatedColumnFormula>
    </tableColumn>
    <tableColumn id="4" xr3:uid="{55749CD3-CB63-451C-94B0-3C3A474960B1}" name="Email"/>
    <tableColumn id="5" xr3:uid="{19E2E70F-8BF7-4DC7-9C00-6346D1641AA9}" name="Phone" dataDxfId="2"/>
    <tableColumn id="6" xr3:uid="{3AF97AF4-FFDA-4AB6-AC0B-E8104C5EB0A3}" name="City (Raw)"/>
    <tableColumn id="14" xr3:uid="{41DBE0F7-3194-4A69-95CD-3C02C87710F3}" name="City" dataDxfId="5">
      <calculatedColumnFormula>PROPER(TRIM(H2))</calculatedColumnFormula>
    </tableColumn>
    <tableColumn id="7" xr3:uid="{0240A096-38D2-46F5-AAA5-BD5C292500F2}" name="Country (Raw)"/>
    <tableColumn id="15" xr3:uid="{5F9643B9-129C-4810-B24F-BF6134C419E1}" name="Country" dataDxfId="1">
      <calculatedColumnFormula>PROPER(TRIM(J2))</calculatedColumnFormula>
    </tableColumn>
    <tableColumn id="8" xr3:uid="{EB62C971-C70F-40B2-935E-20733576F7F3}" name="Client Since" dataDxfId="0"/>
    <tableColumn id="9" xr3:uid="{F7B91978-32EC-4324-B1DB-8F8FFAFB78D4}" name="Status (Raw)"/>
    <tableColumn id="16" xr3:uid="{810E578B-EC72-4D06-8162-8CBB1141D27A}" name="Status" dataDxfId="4">
      <calculatedColumnFormula>PROPER(TRIM(M2))</calculatedColumnFormula>
    </tableColumn>
    <tableColumn id="10" xr3:uid="{ABE81206-16EB-441D-8EED-3CE866E67329}" name="Source (Raw)"/>
    <tableColumn id="18" xr3:uid="{81C31987-DF1F-43EF-A58E-257A311A11C9}" name="Source" dataDxfId="3">
      <calculatedColumnFormula>PROPER(TRIM(O2))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workbookViewId="0">
      <pane ySplit="1" topLeftCell="A2" activePane="bottomLeft" state="frozen"/>
      <selection pane="bottomLeft" activeCell="F16" sqref="F16"/>
    </sheetView>
  </sheetViews>
  <sheetFormatPr defaultRowHeight="14.4" x14ac:dyDescent="0.3"/>
  <cols>
    <col min="1" max="1" width="12" customWidth="1"/>
    <col min="2" max="3" width="16" customWidth="1"/>
    <col min="4" max="4" width="30" customWidth="1"/>
    <col min="5" max="5" width="16" customWidth="1"/>
    <col min="6" max="6" width="18" customWidth="1"/>
    <col min="7" max="7" width="14" customWidth="1"/>
    <col min="8" max="8" width="16" customWidth="1"/>
    <col min="9" max="10" width="14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227</v>
      </c>
      <c r="I2" t="s">
        <v>16</v>
      </c>
      <c r="J2" t="s">
        <v>17</v>
      </c>
    </row>
    <row r="3" spans="1:10" x14ac:dyDescent="0.3">
      <c r="A3">
        <v>2</v>
      </c>
      <c r="B3" t="s">
        <v>228</v>
      </c>
      <c r="C3" t="s">
        <v>18</v>
      </c>
      <c r="D3" t="s">
        <v>19</v>
      </c>
      <c r="E3" t="s">
        <v>20</v>
      </c>
      <c r="F3" t="s">
        <v>21</v>
      </c>
      <c r="G3" t="s">
        <v>15</v>
      </c>
      <c r="H3" t="s">
        <v>229</v>
      </c>
      <c r="I3" t="s">
        <v>16</v>
      </c>
      <c r="J3" t="s">
        <v>22</v>
      </c>
    </row>
    <row r="4" spans="1:10" x14ac:dyDescent="0.3">
      <c r="A4">
        <v>3</v>
      </c>
      <c r="B4" t="s">
        <v>230</v>
      </c>
      <c r="C4" t="s">
        <v>23</v>
      </c>
      <c r="D4" t="s">
        <v>24</v>
      </c>
      <c r="E4" t="s">
        <v>25</v>
      </c>
      <c r="F4" t="s">
        <v>26</v>
      </c>
      <c r="G4" t="s">
        <v>15</v>
      </c>
      <c r="H4" t="s">
        <v>231</v>
      </c>
      <c r="I4" t="s">
        <v>27</v>
      </c>
      <c r="J4" t="s">
        <v>28</v>
      </c>
    </row>
    <row r="5" spans="1:10" x14ac:dyDescent="0.3">
      <c r="A5">
        <v>4</v>
      </c>
      <c r="B5" t="s">
        <v>232</v>
      </c>
      <c r="C5" t="s">
        <v>29</v>
      </c>
      <c r="D5" t="s">
        <v>30</v>
      </c>
      <c r="E5" t="s">
        <v>31</v>
      </c>
      <c r="F5" t="s">
        <v>32</v>
      </c>
      <c r="G5" t="s">
        <v>15</v>
      </c>
      <c r="H5" t="s">
        <v>233</v>
      </c>
      <c r="I5" t="s">
        <v>16</v>
      </c>
      <c r="J5" t="s">
        <v>33</v>
      </c>
    </row>
    <row r="6" spans="1:10" x14ac:dyDescent="0.3">
      <c r="A6">
        <v>5</v>
      </c>
      <c r="B6" t="s">
        <v>234</v>
      </c>
      <c r="C6" t="s">
        <v>34</v>
      </c>
      <c r="D6" t="s">
        <v>35</v>
      </c>
      <c r="E6" t="s">
        <v>36</v>
      </c>
      <c r="F6" t="s">
        <v>37</v>
      </c>
      <c r="G6" t="s">
        <v>15</v>
      </c>
      <c r="H6" t="s">
        <v>235</v>
      </c>
      <c r="I6" t="s">
        <v>38</v>
      </c>
      <c r="J6" t="s">
        <v>22</v>
      </c>
    </row>
    <row r="7" spans="1:10" x14ac:dyDescent="0.3">
      <c r="A7">
        <v>6</v>
      </c>
      <c r="B7" t="s">
        <v>39</v>
      </c>
      <c r="C7" t="s">
        <v>236</v>
      </c>
      <c r="D7" t="s">
        <v>40</v>
      </c>
      <c r="E7" t="s">
        <v>41</v>
      </c>
      <c r="F7" t="s">
        <v>42</v>
      </c>
      <c r="G7" t="s">
        <v>15</v>
      </c>
      <c r="H7" t="s">
        <v>237</v>
      </c>
      <c r="I7" t="s">
        <v>16</v>
      </c>
      <c r="J7" t="s">
        <v>28</v>
      </c>
    </row>
    <row r="8" spans="1:10" x14ac:dyDescent="0.3">
      <c r="A8">
        <v>7</v>
      </c>
      <c r="B8" t="s">
        <v>43</v>
      </c>
      <c r="C8" t="s">
        <v>238</v>
      </c>
      <c r="D8" t="s">
        <v>44</v>
      </c>
      <c r="E8" t="s">
        <v>45</v>
      </c>
      <c r="F8" t="s">
        <v>46</v>
      </c>
      <c r="G8" t="s">
        <v>15</v>
      </c>
      <c r="H8" t="s">
        <v>239</v>
      </c>
      <c r="I8" t="s">
        <v>16</v>
      </c>
      <c r="J8" t="s">
        <v>17</v>
      </c>
    </row>
    <row r="9" spans="1:10" x14ac:dyDescent="0.3">
      <c r="A9">
        <v>8</v>
      </c>
      <c r="B9" t="s">
        <v>47</v>
      </c>
      <c r="C9" t="s">
        <v>240</v>
      </c>
      <c r="D9" t="s">
        <v>48</v>
      </c>
      <c r="E9" t="s">
        <v>49</v>
      </c>
      <c r="F9" t="s">
        <v>50</v>
      </c>
      <c r="G9" t="s">
        <v>15</v>
      </c>
      <c r="H9" t="s">
        <v>241</v>
      </c>
      <c r="I9" t="s">
        <v>38</v>
      </c>
      <c r="J9" t="s">
        <v>33</v>
      </c>
    </row>
    <row r="10" spans="1:10" x14ac:dyDescent="0.3">
      <c r="A10">
        <v>9</v>
      </c>
      <c r="B10" t="s">
        <v>51</v>
      </c>
      <c r="C10" t="s">
        <v>52</v>
      </c>
      <c r="D10" t="s">
        <v>242</v>
      </c>
      <c r="E10" t="s">
        <v>54</v>
      </c>
      <c r="F10" t="s">
        <v>55</v>
      </c>
      <c r="G10" t="s">
        <v>15</v>
      </c>
      <c r="H10" t="s">
        <v>243</v>
      </c>
      <c r="I10" t="s">
        <v>16</v>
      </c>
      <c r="J10" t="s">
        <v>22</v>
      </c>
    </row>
    <row r="11" spans="1:10" x14ac:dyDescent="0.3">
      <c r="A11">
        <v>10</v>
      </c>
      <c r="B11" t="s">
        <v>56</v>
      </c>
      <c r="C11" t="s">
        <v>57</v>
      </c>
      <c r="D11" t="s">
        <v>244</v>
      </c>
      <c r="E11" t="s">
        <v>59</v>
      </c>
      <c r="F11" t="s">
        <v>60</v>
      </c>
      <c r="G11" t="s">
        <v>15</v>
      </c>
      <c r="H11" t="s">
        <v>245</v>
      </c>
      <c r="I11" t="s">
        <v>27</v>
      </c>
      <c r="J11" t="s">
        <v>28</v>
      </c>
    </row>
    <row r="12" spans="1:10" x14ac:dyDescent="0.3">
      <c r="A12">
        <v>11</v>
      </c>
      <c r="B12" t="s">
        <v>61</v>
      </c>
      <c r="C12" t="s">
        <v>62</v>
      </c>
      <c r="D12" t="s">
        <v>63</v>
      </c>
      <c r="E12" t="s">
        <v>246</v>
      </c>
      <c r="F12" t="s">
        <v>65</v>
      </c>
      <c r="G12" t="s">
        <v>15</v>
      </c>
      <c r="H12" t="s">
        <v>247</v>
      </c>
      <c r="I12" t="s">
        <v>16</v>
      </c>
      <c r="J12" t="s">
        <v>17</v>
      </c>
    </row>
    <row r="13" spans="1:10" x14ac:dyDescent="0.3">
      <c r="A13">
        <v>12</v>
      </c>
      <c r="B13" t="s">
        <v>66</v>
      </c>
      <c r="C13" t="s">
        <v>67</v>
      </c>
      <c r="D13" t="s">
        <v>68</v>
      </c>
      <c r="E13" t="s">
        <v>248</v>
      </c>
      <c r="F13" t="s">
        <v>70</v>
      </c>
      <c r="G13" t="s">
        <v>15</v>
      </c>
      <c r="H13" t="s">
        <v>249</v>
      </c>
      <c r="I13" t="s">
        <v>38</v>
      </c>
      <c r="J13" t="s">
        <v>33</v>
      </c>
    </row>
    <row r="14" spans="1:10" x14ac:dyDescent="0.3">
      <c r="A14">
        <v>13</v>
      </c>
      <c r="B14" t="s">
        <v>71</v>
      </c>
      <c r="C14" t="s">
        <v>72</v>
      </c>
      <c r="D14" t="s">
        <v>73</v>
      </c>
      <c r="E14" t="s">
        <v>74</v>
      </c>
      <c r="F14" t="s">
        <v>250</v>
      </c>
      <c r="G14" t="s">
        <v>15</v>
      </c>
      <c r="H14" t="s">
        <v>251</v>
      </c>
      <c r="I14" t="s">
        <v>16</v>
      </c>
      <c r="J14" t="s">
        <v>22</v>
      </c>
    </row>
    <row r="15" spans="1:10" x14ac:dyDescent="0.3">
      <c r="A15">
        <v>14</v>
      </c>
      <c r="B15" t="s">
        <v>76</v>
      </c>
      <c r="C15" t="s">
        <v>77</v>
      </c>
      <c r="D15" t="s">
        <v>78</v>
      </c>
      <c r="E15" t="s">
        <v>79</v>
      </c>
      <c r="F15" t="s">
        <v>252</v>
      </c>
      <c r="G15" t="s">
        <v>15</v>
      </c>
      <c r="H15" t="s">
        <v>253</v>
      </c>
      <c r="I15" t="s">
        <v>16</v>
      </c>
      <c r="J15" t="s">
        <v>28</v>
      </c>
    </row>
    <row r="16" spans="1:10" x14ac:dyDescent="0.3">
      <c r="A16">
        <v>15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  <c r="G16" t="s">
        <v>15</v>
      </c>
      <c r="H16" t="s">
        <v>254</v>
      </c>
      <c r="I16" t="s">
        <v>27</v>
      </c>
      <c r="J16" t="s">
        <v>17</v>
      </c>
    </row>
    <row r="17" spans="1:10" x14ac:dyDescent="0.3">
      <c r="A17">
        <v>16</v>
      </c>
      <c r="B17" t="s">
        <v>85</v>
      </c>
      <c r="C17" t="s">
        <v>86</v>
      </c>
      <c r="D17" t="s">
        <v>87</v>
      </c>
      <c r="E17" t="s">
        <v>88</v>
      </c>
      <c r="F17" t="s">
        <v>89</v>
      </c>
      <c r="G17" t="s">
        <v>15</v>
      </c>
      <c r="H17" t="s">
        <v>255</v>
      </c>
      <c r="I17" t="s">
        <v>38</v>
      </c>
      <c r="J17" t="s">
        <v>22</v>
      </c>
    </row>
    <row r="18" spans="1:10" x14ac:dyDescent="0.3">
      <c r="A18">
        <v>17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  <c r="G18" t="s">
        <v>15</v>
      </c>
      <c r="H18" t="s">
        <v>256</v>
      </c>
      <c r="I18" t="s">
        <v>16</v>
      </c>
      <c r="J18" t="s">
        <v>33</v>
      </c>
    </row>
    <row r="19" spans="1:10" x14ac:dyDescent="0.3">
      <c r="A19">
        <v>18</v>
      </c>
      <c r="B19" t="s">
        <v>95</v>
      </c>
      <c r="C19" t="s">
        <v>96</v>
      </c>
      <c r="D19" t="s">
        <v>97</v>
      </c>
      <c r="E19" t="s">
        <v>98</v>
      </c>
      <c r="F19" t="s">
        <v>99</v>
      </c>
      <c r="G19" t="s">
        <v>15</v>
      </c>
      <c r="H19" t="s">
        <v>257</v>
      </c>
      <c r="I19" t="s">
        <v>258</v>
      </c>
      <c r="J19" t="s">
        <v>28</v>
      </c>
    </row>
    <row r="20" spans="1:10" x14ac:dyDescent="0.3">
      <c r="A20">
        <v>19</v>
      </c>
      <c r="B20" t="s">
        <v>100</v>
      </c>
      <c r="C20" t="s">
        <v>101</v>
      </c>
      <c r="D20" t="s">
        <v>102</v>
      </c>
      <c r="E20" t="s">
        <v>103</v>
      </c>
      <c r="F20" t="s">
        <v>104</v>
      </c>
      <c r="G20" t="s">
        <v>15</v>
      </c>
      <c r="H20" t="s">
        <v>259</v>
      </c>
      <c r="I20" t="s">
        <v>260</v>
      </c>
      <c r="J20" t="s">
        <v>17</v>
      </c>
    </row>
    <row r="21" spans="1:10" x14ac:dyDescent="0.3">
      <c r="A21">
        <v>20</v>
      </c>
      <c r="B21" t="s">
        <v>105</v>
      </c>
      <c r="C21" t="s">
        <v>106</v>
      </c>
      <c r="D21" t="s">
        <v>107</v>
      </c>
      <c r="E21" t="s">
        <v>108</v>
      </c>
      <c r="F21" t="s">
        <v>109</v>
      </c>
      <c r="G21" t="s">
        <v>15</v>
      </c>
      <c r="H21" t="s">
        <v>261</v>
      </c>
      <c r="I21" t="s">
        <v>262</v>
      </c>
      <c r="J21" t="s">
        <v>22</v>
      </c>
    </row>
    <row r="22" spans="1:10" x14ac:dyDescent="0.3">
      <c r="A22">
        <v>21</v>
      </c>
      <c r="B22" t="s">
        <v>110</v>
      </c>
      <c r="C22" t="s">
        <v>111</v>
      </c>
      <c r="D22" t="s">
        <v>112</v>
      </c>
      <c r="E22" t="s">
        <v>113</v>
      </c>
      <c r="F22" t="s">
        <v>114</v>
      </c>
      <c r="G22" t="s">
        <v>15</v>
      </c>
      <c r="H22" t="s">
        <v>263</v>
      </c>
      <c r="I22" t="s">
        <v>27</v>
      </c>
      <c r="J22" t="s">
        <v>264</v>
      </c>
    </row>
    <row r="23" spans="1:10" x14ac:dyDescent="0.3">
      <c r="A23">
        <v>22</v>
      </c>
      <c r="B23" t="s">
        <v>115</v>
      </c>
      <c r="C23" t="s">
        <v>116</v>
      </c>
      <c r="D23" t="s">
        <v>117</v>
      </c>
      <c r="E23" t="s">
        <v>118</v>
      </c>
      <c r="F23" t="s">
        <v>65</v>
      </c>
      <c r="G23" t="s">
        <v>15</v>
      </c>
      <c r="H23" t="s">
        <v>265</v>
      </c>
      <c r="I23" t="s">
        <v>16</v>
      </c>
      <c r="J23" t="s">
        <v>266</v>
      </c>
    </row>
    <row r="24" spans="1:10" x14ac:dyDescent="0.3">
      <c r="A24">
        <v>23</v>
      </c>
      <c r="B24" t="s">
        <v>119</v>
      </c>
      <c r="C24" t="s">
        <v>120</v>
      </c>
      <c r="D24" t="s">
        <v>121</v>
      </c>
      <c r="E24" t="s">
        <v>122</v>
      </c>
      <c r="F24" t="s">
        <v>21</v>
      </c>
      <c r="G24" t="s">
        <v>267</v>
      </c>
      <c r="H24" t="s">
        <v>268</v>
      </c>
      <c r="I24" t="s">
        <v>38</v>
      </c>
      <c r="J24" t="s">
        <v>17</v>
      </c>
    </row>
    <row r="25" spans="1:10" x14ac:dyDescent="0.3">
      <c r="A25">
        <v>24</v>
      </c>
      <c r="B25" t="s">
        <v>123</v>
      </c>
      <c r="C25" t="s">
        <v>124</v>
      </c>
      <c r="D25" t="s">
        <v>125</v>
      </c>
      <c r="E25" t="s">
        <v>126</v>
      </c>
      <c r="F25" t="s">
        <v>14</v>
      </c>
      <c r="G25" t="s">
        <v>269</v>
      </c>
      <c r="H25" t="s">
        <v>270</v>
      </c>
      <c r="I25" t="s">
        <v>16</v>
      </c>
      <c r="J25" t="s">
        <v>22</v>
      </c>
    </row>
    <row r="26" spans="1:10" x14ac:dyDescent="0.3">
      <c r="A26">
        <v>25</v>
      </c>
      <c r="B26" t="s">
        <v>127</v>
      </c>
      <c r="C26" t="s">
        <v>271</v>
      </c>
      <c r="D26" t="s">
        <v>128</v>
      </c>
      <c r="E26" t="s">
        <v>129</v>
      </c>
      <c r="F26" t="s">
        <v>26</v>
      </c>
      <c r="G26" t="s">
        <v>15</v>
      </c>
      <c r="H26" t="s">
        <v>272</v>
      </c>
      <c r="I26" t="s">
        <v>16</v>
      </c>
      <c r="J26" t="s">
        <v>33</v>
      </c>
    </row>
    <row r="27" spans="1:10" x14ac:dyDescent="0.3">
      <c r="A27">
        <v>26</v>
      </c>
      <c r="B27" t="s">
        <v>130</v>
      </c>
      <c r="C27" t="s">
        <v>131</v>
      </c>
      <c r="D27" t="s">
        <v>273</v>
      </c>
      <c r="E27" t="s">
        <v>133</v>
      </c>
      <c r="F27" t="s">
        <v>134</v>
      </c>
      <c r="G27" t="s">
        <v>15</v>
      </c>
      <c r="H27" t="s">
        <v>274</v>
      </c>
      <c r="I27" t="s">
        <v>38</v>
      </c>
      <c r="J27" t="s">
        <v>28</v>
      </c>
    </row>
    <row r="28" spans="1:10" x14ac:dyDescent="0.3">
      <c r="A28">
        <v>27</v>
      </c>
      <c r="B28" t="s">
        <v>135</v>
      </c>
      <c r="C28" t="s">
        <v>275</v>
      </c>
      <c r="D28" t="s">
        <v>136</v>
      </c>
      <c r="E28" t="s">
        <v>137</v>
      </c>
      <c r="F28" t="s">
        <v>42</v>
      </c>
      <c r="G28" t="s">
        <v>15</v>
      </c>
      <c r="H28" t="s">
        <v>276</v>
      </c>
      <c r="I28" t="s">
        <v>16</v>
      </c>
      <c r="J28" t="s">
        <v>17</v>
      </c>
    </row>
    <row r="29" spans="1:10" x14ac:dyDescent="0.3">
      <c r="A29">
        <v>28</v>
      </c>
      <c r="B29" t="s">
        <v>138</v>
      </c>
      <c r="C29" t="s">
        <v>139</v>
      </c>
      <c r="D29" t="s">
        <v>140</v>
      </c>
      <c r="E29" t="s">
        <v>141</v>
      </c>
      <c r="F29" t="s">
        <v>277</v>
      </c>
      <c r="G29" t="s">
        <v>15</v>
      </c>
      <c r="H29" t="s">
        <v>278</v>
      </c>
      <c r="I29" t="s">
        <v>27</v>
      </c>
      <c r="J29" t="s">
        <v>22</v>
      </c>
    </row>
    <row r="30" spans="1:10" x14ac:dyDescent="0.3">
      <c r="A30">
        <v>29</v>
      </c>
      <c r="B30" t="s">
        <v>142</v>
      </c>
      <c r="C30" t="s">
        <v>143</v>
      </c>
      <c r="D30" t="s">
        <v>144</v>
      </c>
      <c r="E30" t="s">
        <v>145</v>
      </c>
      <c r="F30" t="s">
        <v>279</v>
      </c>
      <c r="G30" t="s">
        <v>15</v>
      </c>
      <c r="H30" t="s">
        <v>280</v>
      </c>
      <c r="I30" t="s">
        <v>16</v>
      </c>
      <c r="J30" t="s">
        <v>33</v>
      </c>
    </row>
    <row r="31" spans="1:10" x14ac:dyDescent="0.3">
      <c r="A31">
        <v>30</v>
      </c>
      <c r="B31" t="s">
        <v>146</v>
      </c>
      <c r="C31" t="s">
        <v>147</v>
      </c>
      <c r="D31" t="s">
        <v>148</v>
      </c>
      <c r="E31" t="s">
        <v>149</v>
      </c>
      <c r="F31" t="s">
        <v>150</v>
      </c>
      <c r="G31" t="s">
        <v>15</v>
      </c>
      <c r="H31" t="s">
        <v>281</v>
      </c>
      <c r="I31" t="s">
        <v>38</v>
      </c>
      <c r="J31" t="s">
        <v>28</v>
      </c>
    </row>
    <row r="32" spans="1:10" x14ac:dyDescent="0.3">
      <c r="A32">
        <v>31</v>
      </c>
      <c r="B32" t="s">
        <v>151</v>
      </c>
      <c r="C32" t="s">
        <v>152</v>
      </c>
      <c r="D32" t="s">
        <v>153</v>
      </c>
      <c r="E32" t="s">
        <v>154</v>
      </c>
      <c r="F32" t="s">
        <v>60</v>
      </c>
      <c r="G32" t="s">
        <v>15</v>
      </c>
      <c r="H32" t="s">
        <v>282</v>
      </c>
      <c r="I32" t="s">
        <v>16</v>
      </c>
      <c r="J32" t="s">
        <v>17</v>
      </c>
    </row>
    <row r="33" spans="1:10" x14ac:dyDescent="0.3">
      <c r="A33">
        <v>32</v>
      </c>
      <c r="B33" t="s">
        <v>155</v>
      </c>
      <c r="C33" t="s">
        <v>156</v>
      </c>
      <c r="D33" t="s">
        <v>157</v>
      </c>
      <c r="E33" t="s">
        <v>158</v>
      </c>
      <c r="F33" t="s">
        <v>70</v>
      </c>
      <c r="G33" t="s">
        <v>15</v>
      </c>
      <c r="H33" t="s">
        <v>283</v>
      </c>
      <c r="I33" t="s">
        <v>16</v>
      </c>
      <c r="J33" t="s">
        <v>22</v>
      </c>
    </row>
    <row r="34" spans="1:10" x14ac:dyDescent="0.3">
      <c r="A34">
        <v>33</v>
      </c>
      <c r="B34" t="s">
        <v>284</v>
      </c>
      <c r="C34" t="s">
        <v>159</v>
      </c>
      <c r="D34" t="s">
        <v>160</v>
      </c>
      <c r="E34" t="s">
        <v>161</v>
      </c>
      <c r="F34" t="s">
        <v>75</v>
      </c>
      <c r="G34" t="s">
        <v>15</v>
      </c>
      <c r="H34" t="s">
        <v>285</v>
      </c>
      <c r="I34" t="s">
        <v>27</v>
      </c>
      <c r="J34" t="s">
        <v>33</v>
      </c>
    </row>
    <row r="35" spans="1:10" x14ac:dyDescent="0.3">
      <c r="A35">
        <v>34</v>
      </c>
      <c r="B35" t="s">
        <v>286</v>
      </c>
      <c r="C35" t="s">
        <v>163</v>
      </c>
      <c r="D35" t="s">
        <v>164</v>
      </c>
      <c r="E35" t="s">
        <v>165</v>
      </c>
      <c r="F35" t="s">
        <v>32</v>
      </c>
      <c r="G35" t="s">
        <v>15</v>
      </c>
      <c r="H35" t="s">
        <v>287</v>
      </c>
      <c r="I35" t="s">
        <v>38</v>
      </c>
      <c r="J35" t="s">
        <v>28</v>
      </c>
    </row>
    <row r="36" spans="1:10" x14ac:dyDescent="0.3">
      <c r="A36">
        <v>35</v>
      </c>
      <c r="B36" t="s">
        <v>166</v>
      </c>
      <c r="C36" t="s">
        <v>288</v>
      </c>
      <c r="D36" t="s">
        <v>167</v>
      </c>
      <c r="E36" t="s">
        <v>168</v>
      </c>
      <c r="F36" t="s">
        <v>169</v>
      </c>
      <c r="G36" t="s">
        <v>15</v>
      </c>
      <c r="H36" t="s">
        <v>289</v>
      </c>
      <c r="I36" t="s">
        <v>16</v>
      </c>
      <c r="J36" t="s">
        <v>17</v>
      </c>
    </row>
    <row r="37" spans="1:10" x14ac:dyDescent="0.3">
      <c r="A37">
        <v>36</v>
      </c>
      <c r="B37" t="s">
        <v>170</v>
      </c>
      <c r="C37" t="s">
        <v>171</v>
      </c>
      <c r="D37" t="s">
        <v>172</v>
      </c>
      <c r="E37" t="s">
        <v>173</v>
      </c>
      <c r="F37" t="s">
        <v>21</v>
      </c>
      <c r="G37" t="s">
        <v>15</v>
      </c>
      <c r="H37" t="s">
        <v>290</v>
      </c>
      <c r="I37" t="s">
        <v>16</v>
      </c>
      <c r="J37" t="s">
        <v>22</v>
      </c>
    </row>
    <row r="38" spans="1:10" x14ac:dyDescent="0.3">
      <c r="A38">
        <v>37</v>
      </c>
      <c r="B38" t="s">
        <v>174</v>
      </c>
      <c r="C38" t="s">
        <v>175</v>
      </c>
      <c r="D38" t="s">
        <v>291</v>
      </c>
      <c r="E38" t="s">
        <v>177</v>
      </c>
      <c r="F38" t="s">
        <v>14</v>
      </c>
      <c r="G38" t="s">
        <v>15</v>
      </c>
      <c r="H38" t="s">
        <v>292</v>
      </c>
      <c r="I38" t="s">
        <v>38</v>
      </c>
      <c r="J38" t="s">
        <v>33</v>
      </c>
    </row>
    <row r="39" spans="1:10" x14ac:dyDescent="0.3">
      <c r="A39">
        <v>38</v>
      </c>
      <c r="B39" t="s">
        <v>178</v>
      </c>
      <c r="C39" t="s">
        <v>179</v>
      </c>
      <c r="D39" t="s">
        <v>180</v>
      </c>
      <c r="E39" t="s">
        <v>181</v>
      </c>
      <c r="F39" t="s">
        <v>50</v>
      </c>
      <c r="G39" t="s">
        <v>15</v>
      </c>
      <c r="H39" t="s">
        <v>293</v>
      </c>
      <c r="I39" t="s">
        <v>16</v>
      </c>
      <c r="J39" t="s">
        <v>28</v>
      </c>
    </row>
    <row r="40" spans="1:10" x14ac:dyDescent="0.3">
      <c r="A40">
        <v>39</v>
      </c>
      <c r="B40" t="s">
        <v>182</v>
      </c>
      <c r="C40" t="s">
        <v>183</v>
      </c>
      <c r="D40" t="s">
        <v>184</v>
      </c>
      <c r="E40" t="s">
        <v>185</v>
      </c>
      <c r="F40" t="s">
        <v>26</v>
      </c>
      <c r="G40" t="s">
        <v>15</v>
      </c>
      <c r="H40" t="s">
        <v>294</v>
      </c>
      <c r="I40" t="s">
        <v>27</v>
      </c>
      <c r="J40" t="s">
        <v>17</v>
      </c>
    </row>
    <row r="41" spans="1:10" x14ac:dyDescent="0.3">
      <c r="A41">
        <v>40</v>
      </c>
      <c r="B41" t="s">
        <v>186</v>
      </c>
      <c r="C41" t="s">
        <v>187</v>
      </c>
      <c r="D41" t="s">
        <v>188</v>
      </c>
      <c r="E41" t="s">
        <v>189</v>
      </c>
      <c r="F41" t="s">
        <v>134</v>
      </c>
      <c r="G41" t="s">
        <v>15</v>
      </c>
      <c r="H41" t="s">
        <v>295</v>
      </c>
      <c r="I41" t="s">
        <v>296</v>
      </c>
      <c r="J41" t="s">
        <v>22</v>
      </c>
    </row>
    <row r="42" spans="1:10" x14ac:dyDescent="0.3">
      <c r="A42">
        <v>41</v>
      </c>
      <c r="B42" t="s">
        <v>190</v>
      </c>
      <c r="C42" t="s">
        <v>191</v>
      </c>
      <c r="D42" t="s">
        <v>192</v>
      </c>
      <c r="E42" t="s">
        <v>193</v>
      </c>
      <c r="F42" t="s">
        <v>42</v>
      </c>
      <c r="G42" t="s">
        <v>15</v>
      </c>
      <c r="H42" t="s">
        <v>297</v>
      </c>
      <c r="I42" t="s">
        <v>38</v>
      </c>
      <c r="J42" t="s">
        <v>33</v>
      </c>
    </row>
    <row r="43" spans="1:10" x14ac:dyDescent="0.3">
      <c r="A43">
        <v>42</v>
      </c>
      <c r="B43" t="s">
        <v>194</v>
      </c>
      <c r="C43" t="s">
        <v>195</v>
      </c>
      <c r="D43" t="s">
        <v>196</v>
      </c>
      <c r="E43" t="s">
        <v>197</v>
      </c>
      <c r="F43" t="s">
        <v>46</v>
      </c>
      <c r="G43" t="s">
        <v>15</v>
      </c>
      <c r="H43" t="s">
        <v>298</v>
      </c>
      <c r="I43" t="s">
        <v>16</v>
      </c>
      <c r="J43" t="s">
        <v>28</v>
      </c>
    </row>
    <row r="44" spans="1:10" x14ac:dyDescent="0.3">
      <c r="A44">
        <v>43</v>
      </c>
      <c r="B44" t="s">
        <v>166</v>
      </c>
      <c r="C44" t="s">
        <v>198</v>
      </c>
      <c r="D44" t="s">
        <v>199</v>
      </c>
      <c r="E44" t="s">
        <v>200</v>
      </c>
      <c r="F44" t="s">
        <v>60</v>
      </c>
      <c r="G44" t="s">
        <v>15</v>
      </c>
      <c r="H44" t="s">
        <v>299</v>
      </c>
      <c r="I44" t="s">
        <v>16</v>
      </c>
      <c r="J44" t="s">
        <v>17</v>
      </c>
    </row>
    <row r="45" spans="1:10" x14ac:dyDescent="0.3">
      <c r="A45">
        <v>44</v>
      </c>
      <c r="B45" t="s">
        <v>162</v>
      </c>
      <c r="C45" t="s">
        <v>201</v>
      </c>
      <c r="D45" t="s">
        <v>202</v>
      </c>
      <c r="E45" t="s">
        <v>203</v>
      </c>
      <c r="F45" t="s">
        <v>150</v>
      </c>
      <c r="G45" t="s">
        <v>15</v>
      </c>
      <c r="H45" t="s">
        <v>300</v>
      </c>
      <c r="I45" t="s">
        <v>38</v>
      </c>
      <c r="J45" t="s">
        <v>22</v>
      </c>
    </row>
    <row r="46" spans="1:10" x14ac:dyDescent="0.3">
      <c r="A46">
        <v>45</v>
      </c>
      <c r="B46" t="s">
        <v>204</v>
      </c>
      <c r="C46" t="s">
        <v>205</v>
      </c>
      <c r="D46" t="s">
        <v>206</v>
      </c>
      <c r="E46" t="s">
        <v>207</v>
      </c>
      <c r="F46" t="s">
        <v>65</v>
      </c>
      <c r="G46" t="s">
        <v>15</v>
      </c>
      <c r="H46" t="s">
        <v>301</v>
      </c>
      <c r="I46" t="s">
        <v>16</v>
      </c>
      <c r="J46" t="s">
        <v>302</v>
      </c>
    </row>
    <row r="47" spans="1:10" x14ac:dyDescent="0.3">
      <c r="A47">
        <v>46</v>
      </c>
      <c r="B47" t="s">
        <v>208</v>
      </c>
      <c r="C47" t="s">
        <v>86</v>
      </c>
      <c r="D47" t="s">
        <v>209</v>
      </c>
      <c r="E47" t="s">
        <v>210</v>
      </c>
      <c r="F47" t="s">
        <v>21</v>
      </c>
      <c r="G47" t="s">
        <v>15</v>
      </c>
      <c r="H47" t="s">
        <v>303</v>
      </c>
      <c r="I47" t="s">
        <v>27</v>
      </c>
      <c r="J47" t="s">
        <v>28</v>
      </c>
    </row>
    <row r="48" spans="1:10" x14ac:dyDescent="0.3">
      <c r="A48">
        <v>47</v>
      </c>
      <c r="B48" t="s">
        <v>211</v>
      </c>
      <c r="C48" t="s">
        <v>212</v>
      </c>
      <c r="D48" t="s">
        <v>213</v>
      </c>
      <c r="E48" t="s">
        <v>214</v>
      </c>
      <c r="F48" t="s">
        <v>32</v>
      </c>
      <c r="G48" t="s">
        <v>15</v>
      </c>
      <c r="H48" t="s">
        <v>304</v>
      </c>
      <c r="I48" t="s">
        <v>16</v>
      </c>
      <c r="J48" t="s">
        <v>17</v>
      </c>
    </row>
    <row r="49" spans="1:10" x14ac:dyDescent="0.3">
      <c r="A49">
        <v>48</v>
      </c>
      <c r="B49" t="s">
        <v>215</v>
      </c>
      <c r="C49" t="s">
        <v>216</v>
      </c>
      <c r="D49" t="s">
        <v>217</v>
      </c>
      <c r="E49" t="s">
        <v>218</v>
      </c>
      <c r="F49" t="s">
        <v>14</v>
      </c>
      <c r="G49" t="s">
        <v>15</v>
      </c>
      <c r="H49" t="s">
        <v>305</v>
      </c>
      <c r="I49" t="s">
        <v>38</v>
      </c>
      <c r="J49" t="s">
        <v>22</v>
      </c>
    </row>
    <row r="50" spans="1:10" x14ac:dyDescent="0.3">
      <c r="A50">
        <v>49</v>
      </c>
      <c r="B50" t="s">
        <v>219</v>
      </c>
      <c r="C50" t="s">
        <v>220</v>
      </c>
      <c r="D50" t="s">
        <v>221</v>
      </c>
      <c r="E50" t="s">
        <v>222</v>
      </c>
      <c r="F50" t="s">
        <v>89</v>
      </c>
      <c r="G50" t="s">
        <v>15</v>
      </c>
      <c r="H50" t="s">
        <v>306</v>
      </c>
      <c r="I50" t="s">
        <v>16</v>
      </c>
      <c r="J50" t="s">
        <v>33</v>
      </c>
    </row>
    <row r="51" spans="1:10" x14ac:dyDescent="0.3">
      <c r="A51">
        <v>50</v>
      </c>
      <c r="B51" t="s">
        <v>223</v>
      </c>
      <c r="C51" t="s">
        <v>224</v>
      </c>
      <c r="D51" t="s">
        <v>225</v>
      </c>
      <c r="E51" t="s">
        <v>226</v>
      </c>
      <c r="F51" t="s">
        <v>26</v>
      </c>
      <c r="G51" t="s">
        <v>15</v>
      </c>
      <c r="H51" t="s">
        <v>307</v>
      </c>
      <c r="I51" t="s">
        <v>258</v>
      </c>
      <c r="J51" t="s">
        <v>28</v>
      </c>
    </row>
    <row r="52" spans="1:10" x14ac:dyDescent="0.3">
      <c r="A52">
        <v>7</v>
      </c>
      <c r="B52" t="s">
        <v>43</v>
      </c>
      <c r="C52" t="s">
        <v>238</v>
      </c>
      <c r="D52" t="s">
        <v>44</v>
      </c>
      <c r="E52" t="s">
        <v>45</v>
      </c>
      <c r="F52" t="s">
        <v>46</v>
      </c>
      <c r="G52" t="s">
        <v>15</v>
      </c>
      <c r="H52" t="s">
        <v>239</v>
      </c>
      <c r="I52" t="s">
        <v>16</v>
      </c>
      <c r="J52" t="s">
        <v>17</v>
      </c>
    </row>
    <row r="53" spans="1:10" x14ac:dyDescent="0.3">
      <c r="A53">
        <v>19</v>
      </c>
      <c r="B53" t="s">
        <v>100</v>
      </c>
      <c r="C53" t="s">
        <v>101</v>
      </c>
      <c r="D53" t="s">
        <v>102</v>
      </c>
      <c r="E53" t="s">
        <v>103</v>
      </c>
      <c r="F53" t="s">
        <v>104</v>
      </c>
      <c r="G53" t="s">
        <v>15</v>
      </c>
      <c r="H53" t="s">
        <v>259</v>
      </c>
      <c r="I53" t="s">
        <v>260</v>
      </c>
      <c r="J53" t="s">
        <v>17</v>
      </c>
    </row>
  </sheetData>
  <autoFilter ref="A1:J53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A6F46-665D-4A2D-B17A-E92B62C20B55}">
  <dimension ref="A1:P51"/>
  <sheetViews>
    <sheetView tabSelected="1" workbookViewId="0">
      <pane ySplit="1" topLeftCell="A2" activePane="bottomLeft" state="frozen"/>
      <selection pane="bottomLeft" activeCell="L10" sqref="L10"/>
    </sheetView>
  </sheetViews>
  <sheetFormatPr defaultRowHeight="14.4" x14ac:dyDescent="0.3"/>
  <cols>
    <col min="1" max="1" width="12.44140625" bestFit="1" customWidth="1"/>
    <col min="2" max="2" width="18.33203125" hidden="1" customWidth="1"/>
    <col min="3" max="3" width="16" customWidth="1"/>
    <col min="4" max="4" width="18.44140625" hidden="1" customWidth="1"/>
    <col min="5" max="5" width="16" customWidth="1"/>
    <col min="6" max="6" width="33.5546875" customWidth="1"/>
    <col min="7" max="7" width="19.44140625" style="5" customWidth="1"/>
    <col min="8" max="8" width="18" hidden="1" customWidth="1"/>
    <col min="9" max="9" width="18" customWidth="1"/>
    <col min="10" max="10" width="16.33203125" hidden="1" customWidth="1"/>
    <col min="11" max="11" width="14" customWidth="1"/>
    <col min="12" max="12" width="17.5546875" style="6" customWidth="1"/>
    <col min="13" max="13" width="14" hidden="1" customWidth="1"/>
    <col min="14" max="14" width="14" customWidth="1"/>
    <col min="15" max="15" width="14" hidden="1" customWidth="1"/>
    <col min="16" max="16" width="14" customWidth="1"/>
  </cols>
  <sheetData>
    <row r="1" spans="1:16" x14ac:dyDescent="0.3">
      <c r="A1" s="1" t="s">
        <v>0</v>
      </c>
      <c r="B1" s="2" t="s">
        <v>309</v>
      </c>
      <c r="C1" s="2" t="s">
        <v>1</v>
      </c>
      <c r="D1" s="2" t="s">
        <v>310</v>
      </c>
      <c r="E1" s="2" t="s">
        <v>2</v>
      </c>
      <c r="F1" s="1" t="s">
        <v>3</v>
      </c>
      <c r="G1" s="4" t="s">
        <v>4</v>
      </c>
      <c r="H1" s="2" t="s">
        <v>308</v>
      </c>
      <c r="I1" s="2" t="s">
        <v>5</v>
      </c>
      <c r="J1" s="2" t="s">
        <v>311</v>
      </c>
      <c r="K1" s="2" t="s">
        <v>6</v>
      </c>
      <c r="L1" s="7" t="s">
        <v>7</v>
      </c>
      <c r="M1" s="2" t="s">
        <v>312</v>
      </c>
      <c r="N1" s="2" t="s">
        <v>8</v>
      </c>
      <c r="O1" s="2" t="s">
        <v>313</v>
      </c>
      <c r="P1" s="3" t="s">
        <v>9</v>
      </c>
    </row>
    <row r="2" spans="1:16" x14ac:dyDescent="0.3">
      <c r="A2">
        <v>1</v>
      </c>
      <c r="B2" t="s">
        <v>10</v>
      </c>
      <c r="C2" t="str">
        <f t="shared" ref="C2:C33" si="0">PROPER(TRIM(B2))</f>
        <v>Santos</v>
      </c>
      <c r="D2" t="s">
        <v>11</v>
      </c>
      <c r="E2" t="str">
        <f t="shared" ref="E2:E33" si="1">PROPER(TRIM(D2))</f>
        <v>Maria</v>
      </c>
      <c r="F2" t="s">
        <v>12</v>
      </c>
      <c r="G2" s="5" t="s">
        <v>13</v>
      </c>
      <c r="H2" t="s">
        <v>14</v>
      </c>
      <c r="I2" t="str">
        <f t="shared" ref="I2:I33" si="2">PROPER(TRIM(H2))</f>
        <v>Batangas City</v>
      </c>
      <c r="J2" t="s">
        <v>15</v>
      </c>
      <c r="K2" t="str">
        <f t="shared" ref="K2:K33" si="3">PROPER(TRIM(J2))</f>
        <v>Philippines</v>
      </c>
      <c r="L2" s="6">
        <v>46030</v>
      </c>
      <c r="M2" t="s">
        <v>16</v>
      </c>
      <c r="N2" t="str">
        <f>PROPER(TRIM(M2))</f>
        <v>Active</v>
      </c>
      <c r="O2" t="s">
        <v>17</v>
      </c>
      <c r="P2" t="str">
        <f t="shared" ref="P2:P33" si="4">PROPER(TRIM(O2))</f>
        <v>Online</v>
      </c>
    </row>
    <row r="3" spans="1:16" x14ac:dyDescent="0.3">
      <c r="A3">
        <v>2</v>
      </c>
      <c r="B3" t="s">
        <v>228</v>
      </c>
      <c r="C3" t="str">
        <f t="shared" si="0"/>
        <v>Reyes</v>
      </c>
      <c r="D3" t="s">
        <v>18</v>
      </c>
      <c r="E3" t="str">
        <f t="shared" si="1"/>
        <v>John</v>
      </c>
      <c r="F3" t="s">
        <v>19</v>
      </c>
      <c r="G3" s="5" t="s">
        <v>20</v>
      </c>
      <c r="H3" t="s">
        <v>21</v>
      </c>
      <c r="I3" t="str">
        <f t="shared" si="2"/>
        <v>Lipa City</v>
      </c>
      <c r="J3" t="s">
        <v>15</v>
      </c>
      <c r="K3" t="str">
        <f t="shared" si="3"/>
        <v>Philippines</v>
      </c>
      <c r="L3" s="6">
        <v>46034</v>
      </c>
      <c r="M3" t="s">
        <v>16</v>
      </c>
      <c r="N3" t="str">
        <f>PROPER(TRIM(M3))</f>
        <v>Active</v>
      </c>
      <c r="O3" t="s">
        <v>22</v>
      </c>
      <c r="P3" t="str">
        <f t="shared" si="4"/>
        <v>Referral</v>
      </c>
    </row>
    <row r="4" spans="1:16" x14ac:dyDescent="0.3">
      <c r="A4">
        <v>3</v>
      </c>
      <c r="B4" t="s">
        <v>230</v>
      </c>
      <c r="C4" t="str">
        <f t="shared" si="0"/>
        <v>Garcia</v>
      </c>
      <c r="D4" t="s">
        <v>23</v>
      </c>
      <c r="E4" t="str">
        <f t="shared" si="1"/>
        <v>Angela</v>
      </c>
      <c r="F4" t="s">
        <v>24</v>
      </c>
      <c r="G4" s="5" t="s">
        <v>25</v>
      </c>
      <c r="H4" t="s">
        <v>26</v>
      </c>
      <c r="I4" t="str">
        <f t="shared" si="2"/>
        <v>Tanauan City</v>
      </c>
      <c r="J4" t="s">
        <v>15</v>
      </c>
      <c r="K4" t="str">
        <f t="shared" si="3"/>
        <v>Philippines</v>
      </c>
      <c r="L4" s="6">
        <v>46037</v>
      </c>
      <c r="M4" t="s">
        <v>27</v>
      </c>
      <c r="N4" t="str">
        <f>PROPER(TRIM(M4))</f>
        <v>Inactive</v>
      </c>
      <c r="O4" t="s">
        <v>28</v>
      </c>
      <c r="P4" t="str">
        <f t="shared" si="4"/>
        <v>Website</v>
      </c>
    </row>
    <row r="5" spans="1:16" x14ac:dyDescent="0.3">
      <c r="A5">
        <v>4</v>
      </c>
      <c r="B5" t="s">
        <v>232</v>
      </c>
      <c r="C5" t="str">
        <f t="shared" si="0"/>
        <v>Cruz</v>
      </c>
      <c r="D5" t="s">
        <v>29</v>
      </c>
      <c r="E5" t="str">
        <f t="shared" si="1"/>
        <v>Daniel</v>
      </c>
      <c r="F5" t="s">
        <v>30</v>
      </c>
      <c r="G5" s="5" t="s">
        <v>31</v>
      </c>
      <c r="H5" t="s">
        <v>32</v>
      </c>
      <c r="I5" t="str">
        <f t="shared" si="2"/>
        <v>Calamba City</v>
      </c>
      <c r="J5" t="s">
        <v>15</v>
      </c>
      <c r="K5" t="str">
        <f t="shared" si="3"/>
        <v>Philippines</v>
      </c>
      <c r="L5" s="6">
        <v>46041</v>
      </c>
      <c r="M5" t="s">
        <v>16</v>
      </c>
      <c r="N5" t="str">
        <f>PROPER(TRIM(M5))</f>
        <v>Active</v>
      </c>
      <c r="O5" t="s">
        <v>33</v>
      </c>
      <c r="P5" t="str">
        <f t="shared" si="4"/>
        <v>Facebook</v>
      </c>
    </row>
    <row r="6" spans="1:16" x14ac:dyDescent="0.3">
      <c r="A6">
        <v>5</v>
      </c>
      <c r="B6" t="s">
        <v>234</v>
      </c>
      <c r="C6" t="str">
        <f t="shared" si="0"/>
        <v>Mendoza</v>
      </c>
      <c r="D6" t="s">
        <v>34</v>
      </c>
      <c r="E6" t="str">
        <f t="shared" si="1"/>
        <v>Sofia</v>
      </c>
      <c r="F6" t="s">
        <v>35</v>
      </c>
      <c r="G6" s="5" t="s">
        <v>36</v>
      </c>
      <c r="H6" t="s">
        <v>37</v>
      </c>
      <c r="I6" t="str">
        <f t="shared" si="2"/>
        <v>Malvar</v>
      </c>
      <c r="J6" t="s">
        <v>15</v>
      </c>
      <c r="K6" t="str">
        <f t="shared" si="3"/>
        <v>Philippines</v>
      </c>
      <c r="L6" s="6">
        <v>46045</v>
      </c>
      <c r="M6" t="s">
        <v>38</v>
      </c>
      <c r="N6" t="str">
        <f>PROPER(TRIM(M6))</f>
        <v>Prospect</v>
      </c>
      <c r="O6" t="s">
        <v>22</v>
      </c>
      <c r="P6" t="str">
        <f t="shared" si="4"/>
        <v>Referral</v>
      </c>
    </row>
    <row r="7" spans="1:16" x14ac:dyDescent="0.3">
      <c r="A7">
        <v>6</v>
      </c>
      <c r="B7" t="s">
        <v>39</v>
      </c>
      <c r="C7" t="str">
        <f t="shared" si="0"/>
        <v>Navarro</v>
      </c>
      <c r="D7" t="s">
        <v>236</v>
      </c>
      <c r="E7" t="str">
        <f t="shared" si="1"/>
        <v>Paolo</v>
      </c>
      <c r="F7" t="s">
        <v>40</v>
      </c>
      <c r="G7" s="5" t="s">
        <v>41</v>
      </c>
      <c r="H7" t="s">
        <v>42</v>
      </c>
      <c r="I7" t="str">
        <f t="shared" si="2"/>
        <v>Balayan</v>
      </c>
      <c r="J7" t="s">
        <v>15</v>
      </c>
      <c r="K7" t="str">
        <f t="shared" si="3"/>
        <v>Philippines</v>
      </c>
      <c r="L7" s="6">
        <v>46050</v>
      </c>
      <c r="M7" t="s">
        <v>16</v>
      </c>
      <c r="N7" t="str">
        <f>PROPER(TRIM(M7))</f>
        <v>Active</v>
      </c>
      <c r="O7" t="s">
        <v>28</v>
      </c>
      <c r="P7" t="str">
        <f t="shared" si="4"/>
        <v>Website</v>
      </c>
    </row>
    <row r="8" spans="1:16" x14ac:dyDescent="0.3">
      <c r="A8">
        <v>7</v>
      </c>
      <c r="B8" t="s">
        <v>43</v>
      </c>
      <c r="C8" t="str">
        <f t="shared" si="0"/>
        <v>Torres</v>
      </c>
      <c r="D8" t="s">
        <v>238</v>
      </c>
      <c r="E8" t="str">
        <f t="shared" si="1"/>
        <v>Camille</v>
      </c>
      <c r="F8" t="s">
        <v>44</v>
      </c>
      <c r="G8" s="5" t="s">
        <v>45</v>
      </c>
      <c r="H8" t="s">
        <v>46</v>
      </c>
      <c r="I8" t="str">
        <f t="shared" si="2"/>
        <v>Nasugbu</v>
      </c>
      <c r="J8" t="s">
        <v>15</v>
      </c>
      <c r="K8" t="str">
        <f t="shared" si="3"/>
        <v>Philippines</v>
      </c>
      <c r="L8" s="6">
        <v>46055</v>
      </c>
      <c r="M8" t="s">
        <v>16</v>
      </c>
      <c r="N8" t="str">
        <f>PROPER(TRIM(M8))</f>
        <v>Active</v>
      </c>
      <c r="O8" t="s">
        <v>17</v>
      </c>
      <c r="P8" t="str">
        <f t="shared" si="4"/>
        <v>Online</v>
      </c>
    </row>
    <row r="9" spans="1:16" x14ac:dyDescent="0.3">
      <c r="A9">
        <v>8</v>
      </c>
      <c r="B9" t="s">
        <v>47</v>
      </c>
      <c r="C9" t="str">
        <f t="shared" si="0"/>
        <v>Flores</v>
      </c>
      <c r="D9" t="s">
        <v>240</v>
      </c>
      <c r="E9" t="str">
        <f t="shared" si="1"/>
        <v>Miguel</v>
      </c>
      <c r="F9" t="s">
        <v>48</v>
      </c>
      <c r="G9" s="5" t="s">
        <v>49</v>
      </c>
      <c r="H9" t="s">
        <v>50</v>
      </c>
      <c r="I9" t="str">
        <f t="shared" si="2"/>
        <v>Bauan</v>
      </c>
      <c r="J9" t="s">
        <v>15</v>
      </c>
      <c r="K9" t="str">
        <f t="shared" si="3"/>
        <v>Philippines</v>
      </c>
      <c r="L9" s="6">
        <v>46059</v>
      </c>
      <c r="M9" t="s">
        <v>38</v>
      </c>
      <c r="N9" t="str">
        <f>PROPER(TRIM(M9))</f>
        <v>Prospect</v>
      </c>
      <c r="O9" t="s">
        <v>33</v>
      </c>
      <c r="P9" t="str">
        <f t="shared" si="4"/>
        <v>Facebook</v>
      </c>
    </row>
    <row r="10" spans="1:16" x14ac:dyDescent="0.3">
      <c r="A10">
        <v>9</v>
      </c>
      <c r="B10" t="s">
        <v>51</v>
      </c>
      <c r="C10" t="str">
        <f t="shared" si="0"/>
        <v>Ramos</v>
      </c>
      <c r="D10" t="s">
        <v>52</v>
      </c>
      <c r="E10" t="str">
        <f t="shared" si="1"/>
        <v>Ella</v>
      </c>
      <c r="F10" t="s">
        <v>53</v>
      </c>
      <c r="G10" s="5" t="s">
        <v>54</v>
      </c>
      <c r="H10" t="s">
        <v>55</v>
      </c>
      <c r="I10" t="str">
        <f t="shared" si="2"/>
        <v>Tuy</v>
      </c>
      <c r="J10" t="s">
        <v>15</v>
      </c>
      <c r="K10" t="str">
        <f t="shared" si="3"/>
        <v>Philippines</v>
      </c>
      <c r="L10" s="6">
        <v>46064</v>
      </c>
      <c r="M10" t="s">
        <v>16</v>
      </c>
      <c r="N10" t="str">
        <f>PROPER(TRIM(M10))</f>
        <v>Active</v>
      </c>
      <c r="O10" t="s">
        <v>22</v>
      </c>
      <c r="P10" t="str">
        <f t="shared" si="4"/>
        <v>Referral</v>
      </c>
    </row>
    <row r="11" spans="1:16" x14ac:dyDescent="0.3">
      <c r="A11">
        <v>10</v>
      </c>
      <c r="B11" t="s">
        <v>56</v>
      </c>
      <c r="C11" t="str">
        <f t="shared" si="0"/>
        <v>Castillo</v>
      </c>
      <c r="D11" t="s">
        <v>57</v>
      </c>
      <c r="E11" t="str">
        <f t="shared" si="1"/>
        <v>Kevin</v>
      </c>
      <c r="F11" t="s">
        <v>58</v>
      </c>
      <c r="G11" s="5" t="s">
        <v>59</v>
      </c>
      <c r="H11" t="s">
        <v>60</v>
      </c>
      <c r="I11" t="str">
        <f t="shared" si="2"/>
        <v>Lemery</v>
      </c>
      <c r="J11" t="s">
        <v>15</v>
      </c>
      <c r="K11" t="str">
        <f t="shared" si="3"/>
        <v>Philippines</v>
      </c>
      <c r="L11" s="6">
        <v>46067</v>
      </c>
      <c r="M11" t="s">
        <v>27</v>
      </c>
      <c r="N11" t="str">
        <f>PROPER(TRIM(M11))</f>
        <v>Inactive</v>
      </c>
      <c r="O11" t="s">
        <v>28</v>
      </c>
      <c r="P11" t="str">
        <f t="shared" si="4"/>
        <v>Website</v>
      </c>
    </row>
    <row r="12" spans="1:16" x14ac:dyDescent="0.3">
      <c r="A12">
        <v>11</v>
      </c>
      <c r="B12" t="s">
        <v>61</v>
      </c>
      <c r="C12" t="str">
        <f t="shared" si="0"/>
        <v>Aquino</v>
      </c>
      <c r="D12" t="s">
        <v>62</v>
      </c>
      <c r="E12" t="str">
        <f t="shared" si="1"/>
        <v>Nicole</v>
      </c>
      <c r="F12" t="s">
        <v>63</v>
      </c>
      <c r="G12" s="5" t="s">
        <v>64</v>
      </c>
      <c r="H12" t="s">
        <v>65</v>
      </c>
      <c r="I12" t="str">
        <f t="shared" si="2"/>
        <v>Mabini</v>
      </c>
      <c r="J12" t="s">
        <v>15</v>
      </c>
      <c r="K12" t="str">
        <f t="shared" si="3"/>
        <v>Philippines</v>
      </c>
      <c r="L12" s="6">
        <v>46071</v>
      </c>
      <c r="M12" t="s">
        <v>16</v>
      </c>
      <c r="N12" t="str">
        <f>PROPER(TRIM(M12))</f>
        <v>Active</v>
      </c>
      <c r="O12" t="s">
        <v>17</v>
      </c>
      <c r="P12" t="str">
        <f t="shared" si="4"/>
        <v>Online</v>
      </c>
    </row>
    <row r="13" spans="1:16" x14ac:dyDescent="0.3">
      <c r="A13">
        <v>12</v>
      </c>
      <c r="B13" t="s">
        <v>66</v>
      </c>
      <c r="C13" t="str">
        <f t="shared" si="0"/>
        <v>Villanueva</v>
      </c>
      <c r="D13" t="s">
        <v>67</v>
      </c>
      <c r="E13" t="str">
        <f t="shared" si="1"/>
        <v>Mark</v>
      </c>
      <c r="F13" t="s">
        <v>68</v>
      </c>
      <c r="G13" s="5" t="s">
        <v>69</v>
      </c>
      <c r="H13" t="s">
        <v>70</v>
      </c>
      <c r="I13" t="str">
        <f t="shared" si="2"/>
        <v>Agoncillo</v>
      </c>
      <c r="J13" t="s">
        <v>15</v>
      </c>
      <c r="K13" t="str">
        <f t="shared" si="3"/>
        <v>Philippines</v>
      </c>
      <c r="L13" s="6">
        <v>46075</v>
      </c>
      <c r="M13" t="s">
        <v>38</v>
      </c>
      <c r="N13" t="str">
        <f>PROPER(TRIM(M13))</f>
        <v>Prospect</v>
      </c>
      <c r="O13" t="s">
        <v>33</v>
      </c>
      <c r="P13" t="str">
        <f t="shared" si="4"/>
        <v>Facebook</v>
      </c>
    </row>
    <row r="14" spans="1:16" x14ac:dyDescent="0.3">
      <c r="A14">
        <v>13</v>
      </c>
      <c r="B14" t="s">
        <v>71</v>
      </c>
      <c r="C14" t="str">
        <f t="shared" si="0"/>
        <v>Bautista</v>
      </c>
      <c r="D14" t="s">
        <v>72</v>
      </c>
      <c r="E14" t="str">
        <f t="shared" si="1"/>
        <v>Chloe</v>
      </c>
      <c r="F14" t="s">
        <v>73</v>
      </c>
      <c r="G14" s="5" t="s">
        <v>74</v>
      </c>
      <c r="H14" t="s">
        <v>250</v>
      </c>
      <c r="I14" t="str">
        <f t="shared" si="2"/>
        <v>Laurel</v>
      </c>
      <c r="J14" t="s">
        <v>15</v>
      </c>
      <c r="K14" t="str">
        <f t="shared" si="3"/>
        <v>Philippines</v>
      </c>
      <c r="L14" s="6">
        <v>46079</v>
      </c>
      <c r="M14" t="s">
        <v>16</v>
      </c>
      <c r="N14" t="str">
        <f>PROPER(TRIM(M14))</f>
        <v>Active</v>
      </c>
      <c r="O14" t="s">
        <v>22</v>
      </c>
      <c r="P14" t="str">
        <f t="shared" si="4"/>
        <v>Referral</v>
      </c>
    </row>
    <row r="15" spans="1:16" x14ac:dyDescent="0.3">
      <c r="A15">
        <v>14</v>
      </c>
      <c r="B15" t="s">
        <v>76</v>
      </c>
      <c r="C15" t="str">
        <f t="shared" si="0"/>
        <v>Dela Cruz</v>
      </c>
      <c r="D15" t="s">
        <v>77</v>
      </c>
      <c r="E15" t="str">
        <f t="shared" si="1"/>
        <v>Joshua</v>
      </c>
      <c r="F15" t="s">
        <v>78</v>
      </c>
      <c r="G15" s="5" t="s">
        <v>79</v>
      </c>
      <c r="H15" t="s">
        <v>252</v>
      </c>
      <c r="I15" t="str">
        <f t="shared" si="2"/>
        <v>Mataas Na Kahoy</v>
      </c>
      <c r="J15" t="s">
        <v>15</v>
      </c>
      <c r="K15" t="str">
        <f t="shared" si="3"/>
        <v>Philippines</v>
      </c>
      <c r="L15" s="6">
        <v>46084</v>
      </c>
      <c r="M15" t="s">
        <v>16</v>
      </c>
      <c r="N15" t="str">
        <f>PROPER(TRIM(M15))</f>
        <v>Active</v>
      </c>
      <c r="O15" t="s">
        <v>28</v>
      </c>
      <c r="P15" t="str">
        <f t="shared" si="4"/>
        <v>Website</v>
      </c>
    </row>
    <row r="16" spans="1:16" x14ac:dyDescent="0.3">
      <c r="A16">
        <v>15</v>
      </c>
      <c r="B16" t="s">
        <v>80</v>
      </c>
      <c r="C16" t="str">
        <f t="shared" si="0"/>
        <v>Domingo</v>
      </c>
      <c r="D16" t="s">
        <v>81</v>
      </c>
      <c r="E16" t="str">
        <f t="shared" si="1"/>
        <v>Bea</v>
      </c>
      <c r="F16" t="s">
        <v>82</v>
      </c>
      <c r="G16" s="5" t="s">
        <v>83</v>
      </c>
      <c r="H16" t="s">
        <v>84</v>
      </c>
      <c r="I16" t="str">
        <f t="shared" si="2"/>
        <v>Cuenca</v>
      </c>
      <c r="J16" t="s">
        <v>15</v>
      </c>
      <c r="K16" t="str">
        <f t="shared" si="3"/>
        <v>Philippines</v>
      </c>
      <c r="L16" s="6">
        <v>46206</v>
      </c>
      <c r="M16" t="s">
        <v>27</v>
      </c>
      <c r="N16" t="str">
        <f>PROPER(TRIM(M16))</f>
        <v>Inactive</v>
      </c>
      <c r="O16" t="s">
        <v>17</v>
      </c>
      <c r="P16" t="str">
        <f t="shared" si="4"/>
        <v>Online</v>
      </c>
    </row>
    <row r="17" spans="1:16" x14ac:dyDescent="0.3">
      <c r="A17">
        <v>16</v>
      </c>
      <c r="B17" t="s">
        <v>85</v>
      </c>
      <c r="C17" t="str">
        <f t="shared" si="0"/>
        <v>Manalo</v>
      </c>
      <c r="D17" t="s">
        <v>86</v>
      </c>
      <c r="E17" t="str">
        <f t="shared" si="1"/>
        <v>Ryan</v>
      </c>
      <c r="F17" t="s">
        <v>87</v>
      </c>
      <c r="G17" s="5" t="s">
        <v>88</v>
      </c>
      <c r="H17" t="s">
        <v>89</v>
      </c>
      <c r="I17" t="str">
        <f t="shared" si="2"/>
        <v>San Jose</v>
      </c>
      <c r="J17" t="s">
        <v>15</v>
      </c>
      <c r="K17" t="str">
        <f t="shared" si="3"/>
        <v>Philippines</v>
      </c>
      <c r="L17" s="6">
        <v>46329</v>
      </c>
      <c r="M17" t="s">
        <v>38</v>
      </c>
      <c r="N17" t="str">
        <f>PROPER(TRIM(M17))</f>
        <v>Prospect</v>
      </c>
      <c r="O17" t="s">
        <v>22</v>
      </c>
      <c r="P17" t="str">
        <f t="shared" si="4"/>
        <v>Referral</v>
      </c>
    </row>
    <row r="18" spans="1:16" x14ac:dyDescent="0.3">
      <c r="A18">
        <v>17</v>
      </c>
      <c r="B18" t="s">
        <v>90</v>
      </c>
      <c r="C18" t="str">
        <f t="shared" si="0"/>
        <v>Gonzales</v>
      </c>
      <c r="D18" t="s">
        <v>91</v>
      </c>
      <c r="E18" t="str">
        <f t="shared" si="1"/>
        <v>Trisha</v>
      </c>
      <c r="F18" t="s">
        <v>92</v>
      </c>
      <c r="G18" s="5" t="s">
        <v>93</v>
      </c>
      <c r="H18" t="s">
        <v>94</v>
      </c>
      <c r="I18" t="str">
        <f t="shared" si="2"/>
        <v>Ibaan</v>
      </c>
      <c r="J18" t="s">
        <v>15</v>
      </c>
      <c r="K18" t="str">
        <f t="shared" si="3"/>
        <v>Philippines</v>
      </c>
      <c r="L18" s="6">
        <v>46096</v>
      </c>
      <c r="M18" t="s">
        <v>16</v>
      </c>
      <c r="N18" t="str">
        <f>PROPER(TRIM(M18))</f>
        <v>Active</v>
      </c>
      <c r="O18" t="s">
        <v>33</v>
      </c>
      <c r="P18" t="str">
        <f t="shared" si="4"/>
        <v>Facebook</v>
      </c>
    </row>
    <row r="19" spans="1:16" x14ac:dyDescent="0.3">
      <c r="A19">
        <v>18</v>
      </c>
      <c r="B19" t="s">
        <v>95</v>
      </c>
      <c r="C19" t="str">
        <f t="shared" si="0"/>
        <v>Fernandez</v>
      </c>
      <c r="D19" t="s">
        <v>96</v>
      </c>
      <c r="E19" t="str">
        <f t="shared" si="1"/>
        <v>Luis</v>
      </c>
      <c r="F19" t="s">
        <v>97</v>
      </c>
      <c r="G19" s="5" t="s">
        <v>98</v>
      </c>
      <c r="H19" t="s">
        <v>99</v>
      </c>
      <c r="I19" t="str">
        <f t="shared" si="2"/>
        <v>Rosario</v>
      </c>
      <c r="J19" t="s">
        <v>15</v>
      </c>
      <c r="K19" t="str">
        <f t="shared" si="3"/>
        <v>Philippines</v>
      </c>
      <c r="L19" s="6">
        <v>46100</v>
      </c>
      <c r="M19" t="s">
        <v>258</v>
      </c>
      <c r="N19" t="str">
        <f>PROPER(TRIM(M19))</f>
        <v>Active</v>
      </c>
      <c r="O19" t="s">
        <v>28</v>
      </c>
      <c r="P19" t="str">
        <f t="shared" si="4"/>
        <v>Website</v>
      </c>
    </row>
    <row r="20" spans="1:16" x14ac:dyDescent="0.3">
      <c r="A20">
        <v>19</v>
      </c>
      <c r="B20" t="s">
        <v>100</v>
      </c>
      <c r="C20" t="str">
        <f t="shared" si="0"/>
        <v>Hernandez</v>
      </c>
      <c r="D20" t="s">
        <v>101</v>
      </c>
      <c r="E20" t="str">
        <f t="shared" si="1"/>
        <v>Anne</v>
      </c>
      <c r="F20" t="s">
        <v>102</v>
      </c>
      <c r="G20" s="5" t="s">
        <v>103</v>
      </c>
      <c r="H20" t="s">
        <v>104</v>
      </c>
      <c r="I20" t="str">
        <f t="shared" si="2"/>
        <v>Padre Garcia</v>
      </c>
      <c r="J20" t="s">
        <v>15</v>
      </c>
      <c r="K20" t="str">
        <f t="shared" si="3"/>
        <v>Philippines</v>
      </c>
      <c r="L20" s="6">
        <v>46105</v>
      </c>
      <c r="M20" t="s">
        <v>260</v>
      </c>
      <c r="N20" t="str">
        <f>PROPER(TRIM(M20))</f>
        <v>Prospect</v>
      </c>
      <c r="O20" t="s">
        <v>17</v>
      </c>
      <c r="P20" t="str">
        <f t="shared" si="4"/>
        <v>Online</v>
      </c>
    </row>
    <row r="21" spans="1:16" x14ac:dyDescent="0.3">
      <c r="A21">
        <v>20</v>
      </c>
      <c r="B21" t="s">
        <v>105</v>
      </c>
      <c r="C21" t="str">
        <f t="shared" si="0"/>
        <v>Santiago</v>
      </c>
      <c r="D21" t="s">
        <v>106</v>
      </c>
      <c r="E21" t="str">
        <f t="shared" si="1"/>
        <v>Carlo</v>
      </c>
      <c r="F21" t="s">
        <v>107</v>
      </c>
      <c r="G21" s="5" t="s">
        <v>108</v>
      </c>
      <c r="H21" t="s">
        <v>109</v>
      </c>
      <c r="I21" t="str">
        <f t="shared" si="2"/>
        <v>Taysan</v>
      </c>
      <c r="J21" t="s">
        <v>15</v>
      </c>
      <c r="K21" t="str">
        <f t="shared" si="3"/>
        <v>Philippines</v>
      </c>
      <c r="L21" s="6">
        <v>46109</v>
      </c>
      <c r="M21" t="s">
        <v>262</v>
      </c>
      <c r="N21" t="str">
        <f>PROPER(TRIM(M21))</f>
        <v>Active</v>
      </c>
      <c r="O21" t="s">
        <v>22</v>
      </c>
      <c r="P21" t="str">
        <f t="shared" si="4"/>
        <v>Referral</v>
      </c>
    </row>
    <row r="22" spans="1:16" x14ac:dyDescent="0.3">
      <c r="A22">
        <v>21</v>
      </c>
      <c r="B22" t="s">
        <v>110</v>
      </c>
      <c r="C22" t="str">
        <f t="shared" si="0"/>
        <v>Mercado</v>
      </c>
      <c r="D22" t="s">
        <v>111</v>
      </c>
      <c r="E22" t="str">
        <f t="shared" si="1"/>
        <v>Jasmine</v>
      </c>
      <c r="F22" t="s">
        <v>112</v>
      </c>
      <c r="G22" s="5" t="s">
        <v>113</v>
      </c>
      <c r="H22" t="s">
        <v>114</v>
      </c>
      <c r="I22" t="str">
        <f t="shared" si="2"/>
        <v>San Pascual</v>
      </c>
      <c r="J22" t="s">
        <v>15</v>
      </c>
      <c r="K22" t="str">
        <f t="shared" si="3"/>
        <v>Philippines</v>
      </c>
      <c r="L22" s="6">
        <v>46114</v>
      </c>
      <c r="M22" t="s">
        <v>27</v>
      </c>
      <c r="N22" t="str">
        <f>PROPER(TRIM(M22))</f>
        <v>Inactive</v>
      </c>
      <c r="O22" t="s">
        <v>264</v>
      </c>
      <c r="P22" t="str">
        <f t="shared" si="4"/>
        <v>Facebook</v>
      </c>
    </row>
    <row r="23" spans="1:16" x14ac:dyDescent="0.3">
      <c r="A23">
        <v>22</v>
      </c>
      <c r="B23" t="s">
        <v>115</v>
      </c>
      <c r="C23" t="str">
        <f t="shared" si="0"/>
        <v>Rivera</v>
      </c>
      <c r="D23" t="s">
        <v>116</v>
      </c>
      <c r="E23" t="str">
        <f t="shared" si="1"/>
        <v>Nathan</v>
      </c>
      <c r="F23" t="s">
        <v>117</v>
      </c>
      <c r="G23" s="5" t="s">
        <v>118</v>
      </c>
      <c r="H23" t="s">
        <v>65</v>
      </c>
      <c r="I23" t="str">
        <f t="shared" si="2"/>
        <v>Mabini</v>
      </c>
      <c r="J23" t="s">
        <v>15</v>
      </c>
      <c r="K23" t="str">
        <f t="shared" si="3"/>
        <v>Philippines</v>
      </c>
      <c r="L23" s="6">
        <v>46118</v>
      </c>
      <c r="M23" t="s">
        <v>16</v>
      </c>
      <c r="N23" t="str">
        <f>PROPER(TRIM(M23))</f>
        <v>Active</v>
      </c>
      <c r="O23" t="s">
        <v>266</v>
      </c>
      <c r="P23" t="str">
        <f t="shared" si="4"/>
        <v>Website</v>
      </c>
    </row>
    <row r="24" spans="1:16" x14ac:dyDescent="0.3">
      <c r="A24">
        <v>23</v>
      </c>
      <c r="B24" t="s">
        <v>119</v>
      </c>
      <c r="C24" t="str">
        <f t="shared" si="0"/>
        <v>Ocampo</v>
      </c>
      <c r="D24" t="s">
        <v>120</v>
      </c>
      <c r="E24" t="str">
        <f t="shared" si="1"/>
        <v>Leah</v>
      </c>
      <c r="F24" t="s">
        <v>121</v>
      </c>
      <c r="G24" s="5" t="s">
        <v>122</v>
      </c>
      <c r="H24" t="s">
        <v>21</v>
      </c>
      <c r="I24" t="str">
        <f t="shared" si="2"/>
        <v>Lipa City</v>
      </c>
      <c r="J24" t="s">
        <v>267</v>
      </c>
      <c r="K24" t="str">
        <f t="shared" si="3"/>
        <v>Philippines</v>
      </c>
      <c r="L24" s="6">
        <v>46122</v>
      </c>
      <c r="M24" t="s">
        <v>38</v>
      </c>
      <c r="N24" t="str">
        <f>PROPER(TRIM(M24))</f>
        <v>Prospect</v>
      </c>
      <c r="O24" t="s">
        <v>17</v>
      </c>
      <c r="P24" t="str">
        <f t="shared" si="4"/>
        <v>Online</v>
      </c>
    </row>
    <row r="25" spans="1:16" x14ac:dyDescent="0.3">
      <c r="A25">
        <v>24</v>
      </c>
      <c r="B25" t="s">
        <v>123</v>
      </c>
      <c r="C25" t="str">
        <f t="shared" si="0"/>
        <v>Pascual</v>
      </c>
      <c r="D25" t="s">
        <v>124</v>
      </c>
      <c r="E25" t="str">
        <f t="shared" si="1"/>
        <v>Andre</v>
      </c>
      <c r="F25" t="s">
        <v>125</v>
      </c>
      <c r="G25" s="5" t="s">
        <v>126</v>
      </c>
      <c r="H25" t="s">
        <v>14</v>
      </c>
      <c r="I25" t="str">
        <f t="shared" si="2"/>
        <v>Batangas City</v>
      </c>
      <c r="J25" t="s">
        <v>269</v>
      </c>
      <c r="K25" t="str">
        <f t="shared" si="3"/>
        <v>Philippines</v>
      </c>
      <c r="L25" s="6">
        <v>46126</v>
      </c>
      <c r="M25" t="s">
        <v>16</v>
      </c>
      <c r="N25" t="str">
        <f>PROPER(TRIM(M25))</f>
        <v>Active</v>
      </c>
      <c r="O25" t="s">
        <v>22</v>
      </c>
      <c r="P25" t="str">
        <f t="shared" si="4"/>
        <v>Referral</v>
      </c>
    </row>
    <row r="26" spans="1:16" x14ac:dyDescent="0.3">
      <c r="A26">
        <v>25</v>
      </c>
      <c r="B26" t="s">
        <v>127</v>
      </c>
      <c r="C26" t="str">
        <f t="shared" si="0"/>
        <v>Valdez</v>
      </c>
      <c r="D26" t="s">
        <v>271</v>
      </c>
      <c r="E26" t="str">
        <f t="shared" si="1"/>
        <v>Mia</v>
      </c>
      <c r="F26" t="s">
        <v>128</v>
      </c>
      <c r="G26" s="5" t="s">
        <v>129</v>
      </c>
      <c r="H26" t="s">
        <v>26</v>
      </c>
      <c r="I26" t="str">
        <f t="shared" si="2"/>
        <v>Tanauan City</v>
      </c>
      <c r="J26" t="s">
        <v>15</v>
      </c>
      <c r="K26" t="str">
        <f t="shared" si="3"/>
        <v>Philippines</v>
      </c>
      <c r="L26" s="6">
        <v>46130</v>
      </c>
      <c r="M26" t="s">
        <v>16</v>
      </c>
      <c r="N26" t="str">
        <f>PROPER(TRIM(M26))</f>
        <v>Active</v>
      </c>
      <c r="O26" t="s">
        <v>33</v>
      </c>
      <c r="P26" t="str">
        <f t="shared" si="4"/>
        <v>Facebook</v>
      </c>
    </row>
    <row r="27" spans="1:16" x14ac:dyDescent="0.3">
      <c r="A27">
        <v>26</v>
      </c>
      <c r="B27" t="s">
        <v>130</v>
      </c>
      <c r="C27" t="str">
        <f t="shared" si="0"/>
        <v>Salazar</v>
      </c>
      <c r="D27" t="s">
        <v>131</v>
      </c>
      <c r="E27" t="str">
        <f t="shared" si="1"/>
        <v>Ethan</v>
      </c>
      <c r="F27" t="s">
        <v>132</v>
      </c>
      <c r="G27" s="5" t="s">
        <v>133</v>
      </c>
      <c r="H27" t="s">
        <v>134</v>
      </c>
      <c r="I27" t="str">
        <f t="shared" si="2"/>
        <v>Calaca</v>
      </c>
      <c r="J27" t="s">
        <v>15</v>
      </c>
      <c r="K27" t="str">
        <f t="shared" si="3"/>
        <v>Philippines</v>
      </c>
      <c r="L27" s="6">
        <v>46134</v>
      </c>
      <c r="M27" t="s">
        <v>38</v>
      </c>
      <c r="N27" t="str">
        <f>PROPER(TRIM(M27))</f>
        <v>Prospect</v>
      </c>
      <c r="O27" t="s">
        <v>28</v>
      </c>
      <c r="P27" t="str">
        <f t="shared" si="4"/>
        <v>Website</v>
      </c>
    </row>
    <row r="28" spans="1:16" x14ac:dyDescent="0.3">
      <c r="A28">
        <v>27</v>
      </c>
      <c r="B28" t="s">
        <v>135</v>
      </c>
      <c r="C28" t="str">
        <f t="shared" si="0"/>
        <v>Soriano</v>
      </c>
      <c r="D28" t="s">
        <v>275</v>
      </c>
      <c r="E28" t="str">
        <f t="shared" si="1"/>
        <v>Kate</v>
      </c>
      <c r="F28" t="s">
        <v>136</v>
      </c>
      <c r="G28" s="5" t="s">
        <v>137</v>
      </c>
      <c r="H28" t="s">
        <v>42</v>
      </c>
      <c r="I28" t="str">
        <f t="shared" si="2"/>
        <v>Balayan</v>
      </c>
      <c r="J28" t="s">
        <v>15</v>
      </c>
      <c r="K28" t="str">
        <f t="shared" si="3"/>
        <v>Philippines</v>
      </c>
      <c r="L28" s="6">
        <v>46138</v>
      </c>
      <c r="M28" t="s">
        <v>16</v>
      </c>
      <c r="N28" t="str">
        <f>PROPER(TRIM(M28))</f>
        <v>Active</v>
      </c>
      <c r="O28" t="s">
        <v>17</v>
      </c>
      <c r="P28" t="str">
        <f t="shared" si="4"/>
        <v>Online</v>
      </c>
    </row>
    <row r="29" spans="1:16" x14ac:dyDescent="0.3">
      <c r="A29">
        <v>28</v>
      </c>
      <c r="B29" t="s">
        <v>138</v>
      </c>
      <c r="C29" t="str">
        <f t="shared" si="0"/>
        <v>Marquez</v>
      </c>
      <c r="D29" t="s">
        <v>139</v>
      </c>
      <c r="E29" t="str">
        <f t="shared" si="1"/>
        <v>Adrian</v>
      </c>
      <c r="F29" t="s">
        <v>140</v>
      </c>
      <c r="G29" s="5" t="s">
        <v>141</v>
      </c>
      <c r="H29" t="s">
        <v>277</v>
      </c>
      <c r="I29" t="str">
        <f t="shared" si="2"/>
        <v>Nasugbu</v>
      </c>
      <c r="J29" t="s">
        <v>15</v>
      </c>
      <c r="K29" t="str">
        <f t="shared" si="3"/>
        <v>Philippines</v>
      </c>
      <c r="L29" s="6">
        <v>46142</v>
      </c>
      <c r="M29" t="s">
        <v>27</v>
      </c>
      <c r="N29" t="str">
        <f>PROPER(TRIM(M29))</f>
        <v>Inactive</v>
      </c>
      <c r="O29" t="s">
        <v>22</v>
      </c>
      <c r="P29" t="str">
        <f t="shared" si="4"/>
        <v>Referral</v>
      </c>
    </row>
    <row r="30" spans="1:16" x14ac:dyDescent="0.3">
      <c r="A30">
        <v>29</v>
      </c>
      <c r="B30" t="s">
        <v>142</v>
      </c>
      <c r="C30" t="str">
        <f t="shared" si="0"/>
        <v>Padilla</v>
      </c>
      <c r="D30" t="s">
        <v>143</v>
      </c>
      <c r="E30" t="str">
        <f t="shared" si="1"/>
        <v>Lara</v>
      </c>
      <c r="F30" t="s">
        <v>144</v>
      </c>
      <c r="G30" s="5" t="s">
        <v>145</v>
      </c>
      <c r="H30" t="s">
        <v>279</v>
      </c>
      <c r="I30" t="str">
        <f t="shared" si="2"/>
        <v>Bauan</v>
      </c>
      <c r="J30" t="s">
        <v>15</v>
      </c>
      <c r="K30" t="str">
        <f t="shared" si="3"/>
        <v>Philippines</v>
      </c>
      <c r="L30" s="6">
        <v>46146</v>
      </c>
      <c r="M30" t="s">
        <v>16</v>
      </c>
      <c r="N30" t="str">
        <f>PROPER(TRIM(M30))</f>
        <v>Active</v>
      </c>
      <c r="O30" t="s">
        <v>33</v>
      </c>
      <c r="P30" t="str">
        <f t="shared" si="4"/>
        <v>Facebook</v>
      </c>
    </row>
    <row r="31" spans="1:16" x14ac:dyDescent="0.3">
      <c r="A31">
        <v>30</v>
      </c>
      <c r="B31" t="s">
        <v>146</v>
      </c>
      <c r="C31" t="str">
        <f t="shared" si="0"/>
        <v>Estrada</v>
      </c>
      <c r="D31" t="s">
        <v>147</v>
      </c>
      <c r="E31" t="str">
        <f t="shared" si="1"/>
        <v>Noah</v>
      </c>
      <c r="F31" t="s">
        <v>148</v>
      </c>
      <c r="G31" s="5" t="s">
        <v>149</v>
      </c>
      <c r="H31" t="s">
        <v>150</v>
      </c>
      <c r="I31" t="str">
        <f t="shared" si="2"/>
        <v>Taal</v>
      </c>
      <c r="J31" t="s">
        <v>15</v>
      </c>
      <c r="K31" t="str">
        <f t="shared" si="3"/>
        <v>Philippines</v>
      </c>
      <c r="L31" s="6">
        <v>46239</v>
      </c>
      <c r="M31" t="s">
        <v>38</v>
      </c>
      <c r="N31" t="str">
        <f>PROPER(TRIM(M31))</f>
        <v>Prospect</v>
      </c>
      <c r="O31" t="s">
        <v>28</v>
      </c>
      <c r="P31" t="str">
        <f t="shared" si="4"/>
        <v>Website</v>
      </c>
    </row>
    <row r="32" spans="1:16" x14ac:dyDescent="0.3">
      <c r="A32">
        <v>31</v>
      </c>
      <c r="B32" t="s">
        <v>151</v>
      </c>
      <c r="C32" t="str">
        <f t="shared" si="0"/>
        <v>Cabrera</v>
      </c>
      <c r="D32" t="s">
        <v>152</v>
      </c>
      <c r="E32" t="str">
        <f t="shared" si="1"/>
        <v>Ivy</v>
      </c>
      <c r="F32" t="s">
        <v>153</v>
      </c>
      <c r="G32" s="5" t="s">
        <v>154</v>
      </c>
      <c r="H32" t="s">
        <v>60</v>
      </c>
      <c r="I32" t="str">
        <f t="shared" si="2"/>
        <v>Lemery</v>
      </c>
      <c r="J32" t="s">
        <v>15</v>
      </c>
      <c r="K32" t="str">
        <f t="shared" si="3"/>
        <v>Philippines</v>
      </c>
      <c r="L32" s="6">
        <v>46154</v>
      </c>
      <c r="M32" t="s">
        <v>16</v>
      </c>
      <c r="N32" t="str">
        <f>PROPER(TRIM(M32))</f>
        <v>Active</v>
      </c>
      <c r="O32" t="s">
        <v>17</v>
      </c>
      <c r="P32" t="str">
        <f t="shared" si="4"/>
        <v>Online</v>
      </c>
    </row>
    <row r="33" spans="1:16" x14ac:dyDescent="0.3">
      <c r="A33">
        <v>32</v>
      </c>
      <c r="B33" t="s">
        <v>155</v>
      </c>
      <c r="C33" t="str">
        <f t="shared" si="0"/>
        <v>Alvarez</v>
      </c>
      <c r="D33" t="s">
        <v>156</v>
      </c>
      <c r="E33" t="str">
        <f t="shared" si="1"/>
        <v>Sean</v>
      </c>
      <c r="F33" t="s">
        <v>157</v>
      </c>
      <c r="G33" s="5" t="s">
        <v>158</v>
      </c>
      <c r="H33" t="s">
        <v>70</v>
      </c>
      <c r="I33" t="str">
        <f t="shared" si="2"/>
        <v>Agoncillo</v>
      </c>
      <c r="J33" t="s">
        <v>15</v>
      </c>
      <c r="K33" t="str">
        <f t="shared" si="3"/>
        <v>Philippines</v>
      </c>
      <c r="L33" s="6">
        <v>46158</v>
      </c>
      <c r="M33" t="s">
        <v>16</v>
      </c>
      <c r="N33" t="str">
        <f>PROPER(TRIM(M33))</f>
        <v>Active</v>
      </c>
      <c r="O33" t="s">
        <v>22</v>
      </c>
      <c r="P33" t="str">
        <f t="shared" si="4"/>
        <v>Referral</v>
      </c>
    </row>
    <row r="34" spans="1:16" x14ac:dyDescent="0.3">
      <c r="A34">
        <v>33</v>
      </c>
      <c r="B34" t="s">
        <v>284</v>
      </c>
      <c r="C34" t="str">
        <f t="shared" ref="C34:C51" si="5">PROPER(TRIM(B34))</f>
        <v>Magsaysay</v>
      </c>
      <c r="D34" t="s">
        <v>159</v>
      </c>
      <c r="E34" t="str">
        <f t="shared" ref="E34:E51" si="6">PROPER(TRIM(D34))</f>
        <v>Rina</v>
      </c>
      <c r="F34" t="s">
        <v>160</v>
      </c>
      <c r="G34" s="5" t="s">
        <v>161</v>
      </c>
      <c r="H34" t="s">
        <v>75</v>
      </c>
      <c r="I34" t="str">
        <f t="shared" ref="I34:I51" si="7">PROPER(TRIM(H34))</f>
        <v>Laurel</v>
      </c>
      <c r="J34" t="s">
        <v>15</v>
      </c>
      <c r="K34" t="str">
        <f t="shared" ref="K34:K51" si="8">PROPER(TRIM(J34))</f>
        <v>Philippines</v>
      </c>
      <c r="L34" s="6">
        <v>46162</v>
      </c>
      <c r="M34" t="s">
        <v>27</v>
      </c>
      <c r="N34" t="str">
        <f>PROPER(TRIM(M34))</f>
        <v>Inactive</v>
      </c>
      <c r="O34" t="s">
        <v>33</v>
      </c>
      <c r="P34" t="str">
        <f t="shared" ref="P34:P65" si="9">PROPER(TRIM(O34))</f>
        <v>Facebook</v>
      </c>
    </row>
    <row r="35" spans="1:16" x14ac:dyDescent="0.3">
      <c r="A35">
        <v>34</v>
      </c>
      <c r="B35" t="s">
        <v>286</v>
      </c>
      <c r="C35" t="str">
        <f t="shared" si="5"/>
        <v>Tan</v>
      </c>
      <c r="D35" t="s">
        <v>163</v>
      </c>
      <c r="E35" t="str">
        <f t="shared" si="6"/>
        <v>Lucas</v>
      </c>
      <c r="F35" t="s">
        <v>164</v>
      </c>
      <c r="G35" s="5" t="s">
        <v>165</v>
      </c>
      <c r="H35" t="s">
        <v>32</v>
      </c>
      <c r="I35" t="str">
        <f t="shared" si="7"/>
        <v>Calamba City</v>
      </c>
      <c r="J35" t="s">
        <v>15</v>
      </c>
      <c r="K35" t="str">
        <f t="shared" si="8"/>
        <v>Philippines</v>
      </c>
      <c r="L35" s="6">
        <v>46166</v>
      </c>
      <c r="M35" t="s">
        <v>38</v>
      </c>
      <c r="N35" t="str">
        <f>PROPER(TRIM(M35))</f>
        <v>Prospect</v>
      </c>
      <c r="O35" t="s">
        <v>28</v>
      </c>
      <c r="P35" t="str">
        <f t="shared" si="9"/>
        <v>Website</v>
      </c>
    </row>
    <row r="36" spans="1:16" x14ac:dyDescent="0.3">
      <c r="A36">
        <v>35</v>
      </c>
      <c r="B36" t="s">
        <v>166</v>
      </c>
      <c r="C36" t="str">
        <f t="shared" si="5"/>
        <v>Lim</v>
      </c>
      <c r="D36" t="s">
        <v>288</v>
      </c>
      <c r="E36" t="str">
        <f t="shared" si="6"/>
        <v>Grace</v>
      </c>
      <c r="F36" t="s">
        <v>167</v>
      </c>
      <c r="G36" s="5" t="s">
        <v>168</v>
      </c>
      <c r="H36" t="s">
        <v>169</v>
      </c>
      <c r="I36" t="str">
        <f t="shared" si="7"/>
        <v>San Pablo City</v>
      </c>
      <c r="J36" t="s">
        <v>15</v>
      </c>
      <c r="K36" t="str">
        <f t="shared" si="8"/>
        <v>Philippines</v>
      </c>
      <c r="L36" s="6">
        <v>46170</v>
      </c>
      <c r="M36" t="s">
        <v>16</v>
      </c>
      <c r="N36" t="str">
        <f>PROPER(TRIM(M36))</f>
        <v>Active</v>
      </c>
      <c r="O36" t="s">
        <v>17</v>
      </c>
      <c r="P36" t="str">
        <f t="shared" si="9"/>
        <v>Online</v>
      </c>
    </row>
    <row r="37" spans="1:16" x14ac:dyDescent="0.3">
      <c r="A37">
        <v>36</v>
      </c>
      <c r="B37" t="s">
        <v>170</v>
      </c>
      <c r="C37" t="str">
        <f t="shared" si="5"/>
        <v>Chua</v>
      </c>
      <c r="D37" t="s">
        <v>171</v>
      </c>
      <c r="E37" t="str">
        <f t="shared" si="6"/>
        <v>Eli</v>
      </c>
      <c r="F37" t="s">
        <v>172</v>
      </c>
      <c r="G37" s="5" t="s">
        <v>173</v>
      </c>
      <c r="H37" t="s">
        <v>21</v>
      </c>
      <c r="I37" t="str">
        <f t="shared" si="7"/>
        <v>Lipa City</v>
      </c>
      <c r="J37" t="s">
        <v>15</v>
      </c>
      <c r="K37" t="str">
        <f t="shared" si="8"/>
        <v>Philippines</v>
      </c>
      <c r="L37" s="6">
        <v>46174</v>
      </c>
      <c r="M37" t="s">
        <v>16</v>
      </c>
      <c r="N37" t="str">
        <f>PROPER(TRIM(M37))</f>
        <v>Active</v>
      </c>
      <c r="O37" t="s">
        <v>22</v>
      </c>
      <c r="P37" t="str">
        <f t="shared" si="9"/>
        <v>Referral</v>
      </c>
    </row>
    <row r="38" spans="1:16" x14ac:dyDescent="0.3">
      <c r="A38">
        <v>37</v>
      </c>
      <c r="B38" t="s">
        <v>174</v>
      </c>
      <c r="C38" t="str">
        <f t="shared" si="5"/>
        <v>Sy</v>
      </c>
      <c r="D38" t="s">
        <v>175</v>
      </c>
      <c r="E38" t="str">
        <f t="shared" si="6"/>
        <v>Nina</v>
      </c>
      <c r="F38" t="s">
        <v>176</v>
      </c>
      <c r="G38" s="5" t="s">
        <v>177</v>
      </c>
      <c r="H38" t="s">
        <v>14</v>
      </c>
      <c r="I38" t="str">
        <f t="shared" si="7"/>
        <v>Batangas City</v>
      </c>
      <c r="J38" t="s">
        <v>15</v>
      </c>
      <c r="K38" t="str">
        <f t="shared" si="8"/>
        <v>Philippines</v>
      </c>
      <c r="L38" s="6">
        <v>46178</v>
      </c>
      <c r="M38" t="s">
        <v>38</v>
      </c>
      <c r="N38" t="str">
        <f>PROPER(TRIM(M38))</f>
        <v>Prospect</v>
      </c>
      <c r="O38" t="s">
        <v>33</v>
      </c>
      <c r="P38" t="str">
        <f t="shared" si="9"/>
        <v>Facebook</v>
      </c>
    </row>
    <row r="39" spans="1:16" x14ac:dyDescent="0.3">
      <c r="A39">
        <v>38</v>
      </c>
      <c r="B39" t="s">
        <v>178</v>
      </c>
      <c r="C39" t="str">
        <f t="shared" si="5"/>
        <v>Co</v>
      </c>
      <c r="D39" t="s">
        <v>179</v>
      </c>
      <c r="E39" t="str">
        <f t="shared" si="6"/>
        <v>Dylan</v>
      </c>
      <c r="F39" t="s">
        <v>180</v>
      </c>
      <c r="G39" s="5" t="s">
        <v>181</v>
      </c>
      <c r="H39" t="s">
        <v>50</v>
      </c>
      <c r="I39" t="str">
        <f t="shared" si="7"/>
        <v>Bauan</v>
      </c>
      <c r="J39" t="s">
        <v>15</v>
      </c>
      <c r="K39" t="str">
        <f t="shared" si="8"/>
        <v>Philippines</v>
      </c>
      <c r="L39" s="6">
        <v>46182</v>
      </c>
      <c r="M39" t="s">
        <v>16</v>
      </c>
      <c r="N39" t="str">
        <f>PROPER(TRIM(M39))</f>
        <v>Active</v>
      </c>
      <c r="O39" t="s">
        <v>28</v>
      </c>
      <c r="P39" t="str">
        <f t="shared" si="9"/>
        <v>Website</v>
      </c>
    </row>
    <row r="40" spans="1:16" x14ac:dyDescent="0.3">
      <c r="A40">
        <v>39</v>
      </c>
      <c r="B40" t="s">
        <v>182</v>
      </c>
      <c r="C40" t="str">
        <f t="shared" si="5"/>
        <v>Go</v>
      </c>
      <c r="D40" t="s">
        <v>183</v>
      </c>
      <c r="E40" t="str">
        <f t="shared" si="6"/>
        <v>Mara</v>
      </c>
      <c r="F40" t="s">
        <v>184</v>
      </c>
      <c r="G40" s="5" t="s">
        <v>185</v>
      </c>
      <c r="H40" t="s">
        <v>26</v>
      </c>
      <c r="I40" t="str">
        <f t="shared" si="7"/>
        <v>Tanauan City</v>
      </c>
      <c r="J40" t="s">
        <v>15</v>
      </c>
      <c r="K40" t="str">
        <f t="shared" si="8"/>
        <v>Philippines</v>
      </c>
      <c r="L40" s="6">
        <v>46186</v>
      </c>
      <c r="M40" t="s">
        <v>27</v>
      </c>
      <c r="N40" t="str">
        <f>PROPER(TRIM(M40))</f>
        <v>Inactive</v>
      </c>
      <c r="O40" t="s">
        <v>17</v>
      </c>
      <c r="P40" t="str">
        <f t="shared" si="9"/>
        <v>Online</v>
      </c>
    </row>
    <row r="41" spans="1:16" x14ac:dyDescent="0.3">
      <c r="A41">
        <v>40</v>
      </c>
      <c r="B41" t="s">
        <v>186</v>
      </c>
      <c r="C41" t="str">
        <f t="shared" si="5"/>
        <v>Yap</v>
      </c>
      <c r="D41" t="s">
        <v>187</v>
      </c>
      <c r="E41" t="str">
        <f t="shared" si="6"/>
        <v>Theo</v>
      </c>
      <c r="F41" t="s">
        <v>188</v>
      </c>
      <c r="G41" s="5" t="s">
        <v>189</v>
      </c>
      <c r="H41" t="s">
        <v>134</v>
      </c>
      <c r="I41" t="str">
        <f t="shared" si="7"/>
        <v>Calaca</v>
      </c>
      <c r="J41" t="s">
        <v>15</v>
      </c>
      <c r="K41" t="str">
        <f t="shared" si="8"/>
        <v>Philippines</v>
      </c>
      <c r="L41" s="6">
        <v>46190</v>
      </c>
      <c r="M41" t="s">
        <v>296</v>
      </c>
      <c r="N41" t="str">
        <f>PROPER(TRIM(M41))</f>
        <v>Active</v>
      </c>
      <c r="O41" t="s">
        <v>22</v>
      </c>
      <c r="P41" t="str">
        <f t="shared" si="9"/>
        <v>Referral</v>
      </c>
    </row>
    <row r="42" spans="1:16" x14ac:dyDescent="0.3">
      <c r="A42">
        <v>41</v>
      </c>
      <c r="B42" t="s">
        <v>190</v>
      </c>
      <c r="C42" t="str">
        <f t="shared" si="5"/>
        <v>Uy</v>
      </c>
      <c r="D42" t="s">
        <v>191</v>
      </c>
      <c r="E42" t="str">
        <f t="shared" si="6"/>
        <v>Jessa</v>
      </c>
      <c r="F42" t="s">
        <v>192</v>
      </c>
      <c r="G42" s="5" t="s">
        <v>193</v>
      </c>
      <c r="H42" t="s">
        <v>42</v>
      </c>
      <c r="I42" t="str">
        <f t="shared" si="7"/>
        <v>Balayan</v>
      </c>
      <c r="J42" t="s">
        <v>15</v>
      </c>
      <c r="K42" t="str">
        <f t="shared" si="8"/>
        <v>Philippines</v>
      </c>
      <c r="L42" s="6">
        <v>46194</v>
      </c>
      <c r="M42" t="s">
        <v>38</v>
      </c>
      <c r="N42" t="str">
        <f>PROPER(TRIM(M42))</f>
        <v>Prospect</v>
      </c>
      <c r="O42" t="s">
        <v>33</v>
      </c>
      <c r="P42" t="str">
        <f t="shared" si="9"/>
        <v>Facebook</v>
      </c>
    </row>
    <row r="43" spans="1:16" x14ac:dyDescent="0.3">
      <c r="A43">
        <v>42</v>
      </c>
      <c r="B43" t="s">
        <v>194</v>
      </c>
      <c r="C43" t="str">
        <f t="shared" si="5"/>
        <v>Cheng</v>
      </c>
      <c r="D43" t="s">
        <v>195</v>
      </c>
      <c r="E43" t="str">
        <f t="shared" si="6"/>
        <v>Aaron</v>
      </c>
      <c r="F43" t="s">
        <v>196</v>
      </c>
      <c r="G43" s="5" t="s">
        <v>197</v>
      </c>
      <c r="H43" t="s">
        <v>46</v>
      </c>
      <c r="I43" t="str">
        <f t="shared" si="7"/>
        <v>Nasugbu</v>
      </c>
      <c r="J43" t="s">
        <v>15</v>
      </c>
      <c r="K43" t="str">
        <f t="shared" si="8"/>
        <v>Philippines</v>
      </c>
      <c r="L43" s="6">
        <v>46198</v>
      </c>
      <c r="M43" t="s">
        <v>16</v>
      </c>
      <c r="N43" t="str">
        <f>PROPER(TRIM(M43))</f>
        <v>Active</v>
      </c>
      <c r="O43" t="s">
        <v>28</v>
      </c>
      <c r="P43" t="str">
        <f t="shared" si="9"/>
        <v>Website</v>
      </c>
    </row>
    <row r="44" spans="1:16" x14ac:dyDescent="0.3">
      <c r="A44">
        <v>43</v>
      </c>
      <c r="B44" t="s">
        <v>166</v>
      </c>
      <c r="C44" t="str">
        <f t="shared" si="5"/>
        <v>Lim</v>
      </c>
      <c r="D44" t="s">
        <v>198</v>
      </c>
      <c r="E44" t="str">
        <f t="shared" si="6"/>
        <v>Bianca</v>
      </c>
      <c r="F44" t="s">
        <v>199</v>
      </c>
      <c r="G44" s="5" t="s">
        <v>200</v>
      </c>
      <c r="H44" t="s">
        <v>60</v>
      </c>
      <c r="I44" t="str">
        <f t="shared" si="7"/>
        <v>Lemery</v>
      </c>
      <c r="J44" t="s">
        <v>15</v>
      </c>
      <c r="K44" t="str">
        <f t="shared" si="8"/>
        <v>Philippines</v>
      </c>
      <c r="L44" s="6">
        <v>46202</v>
      </c>
      <c r="M44" t="s">
        <v>16</v>
      </c>
      <c r="N44" t="str">
        <f>PROPER(TRIM(M44))</f>
        <v>Active</v>
      </c>
      <c r="O44" t="s">
        <v>17</v>
      </c>
      <c r="P44" t="str">
        <f t="shared" si="9"/>
        <v>Online</v>
      </c>
    </row>
    <row r="45" spans="1:16" x14ac:dyDescent="0.3">
      <c r="A45">
        <v>44</v>
      </c>
      <c r="B45" t="s">
        <v>162</v>
      </c>
      <c r="C45" t="str">
        <f t="shared" si="5"/>
        <v>Tan</v>
      </c>
      <c r="D45" t="s">
        <v>201</v>
      </c>
      <c r="E45" t="str">
        <f t="shared" si="6"/>
        <v>Marco</v>
      </c>
      <c r="F45" t="s">
        <v>202</v>
      </c>
      <c r="G45" s="5" t="s">
        <v>203</v>
      </c>
      <c r="H45" t="s">
        <v>150</v>
      </c>
      <c r="I45" t="str">
        <f t="shared" si="7"/>
        <v>Taal</v>
      </c>
      <c r="J45" t="s">
        <v>15</v>
      </c>
      <c r="K45" t="str">
        <f t="shared" si="8"/>
        <v>Philippines</v>
      </c>
      <c r="L45" s="6">
        <v>46206</v>
      </c>
      <c r="M45" t="s">
        <v>38</v>
      </c>
      <c r="N45" t="str">
        <f>PROPER(TRIM(M45))</f>
        <v>Prospect</v>
      </c>
      <c r="O45" t="s">
        <v>22</v>
      </c>
      <c r="P45" t="str">
        <f t="shared" si="9"/>
        <v>Referral</v>
      </c>
    </row>
    <row r="46" spans="1:16" x14ac:dyDescent="0.3">
      <c r="A46">
        <v>45</v>
      </c>
      <c r="B46" t="s">
        <v>204</v>
      </c>
      <c r="C46" t="str">
        <f t="shared" si="5"/>
        <v>Lee</v>
      </c>
      <c r="D46" t="s">
        <v>205</v>
      </c>
      <c r="E46" t="str">
        <f t="shared" si="6"/>
        <v>Alyssa</v>
      </c>
      <c r="F46" t="s">
        <v>206</v>
      </c>
      <c r="G46" s="5" t="s">
        <v>207</v>
      </c>
      <c r="H46" t="s">
        <v>65</v>
      </c>
      <c r="I46" t="str">
        <f t="shared" si="7"/>
        <v>Mabini</v>
      </c>
      <c r="J46" t="s">
        <v>15</v>
      </c>
      <c r="K46" t="str">
        <f t="shared" si="8"/>
        <v>Philippines</v>
      </c>
      <c r="L46" s="6">
        <v>46210</v>
      </c>
      <c r="M46" t="s">
        <v>16</v>
      </c>
      <c r="N46" t="str">
        <f>PROPER(TRIM(M46))</f>
        <v>Active</v>
      </c>
      <c r="O46" t="s">
        <v>302</v>
      </c>
      <c r="P46" t="str">
        <f t="shared" si="9"/>
        <v>Facebook</v>
      </c>
    </row>
    <row r="47" spans="1:16" x14ac:dyDescent="0.3">
      <c r="A47">
        <v>46</v>
      </c>
      <c r="B47" t="s">
        <v>208</v>
      </c>
      <c r="C47" t="str">
        <f t="shared" si="5"/>
        <v>Choi</v>
      </c>
      <c r="D47" t="s">
        <v>86</v>
      </c>
      <c r="E47" t="str">
        <f t="shared" si="6"/>
        <v>Ryan</v>
      </c>
      <c r="F47" t="s">
        <v>209</v>
      </c>
      <c r="G47" s="5" t="s">
        <v>210</v>
      </c>
      <c r="H47" t="s">
        <v>21</v>
      </c>
      <c r="I47" t="str">
        <f t="shared" si="7"/>
        <v>Lipa City</v>
      </c>
      <c r="J47" t="s">
        <v>15</v>
      </c>
      <c r="K47" t="str">
        <f t="shared" si="8"/>
        <v>Philippines</v>
      </c>
      <c r="L47" s="6">
        <v>46214</v>
      </c>
      <c r="M47" t="s">
        <v>27</v>
      </c>
      <c r="N47" t="str">
        <f>PROPER(TRIM(M47))</f>
        <v>Inactive</v>
      </c>
      <c r="O47" t="s">
        <v>28</v>
      </c>
      <c r="P47" t="str">
        <f t="shared" si="9"/>
        <v>Website</v>
      </c>
    </row>
    <row r="48" spans="1:16" x14ac:dyDescent="0.3">
      <c r="A48">
        <v>47</v>
      </c>
      <c r="B48" t="s">
        <v>211</v>
      </c>
      <c r="C48" t="str">
        <f t="shared" si="5"/>
        <v>Khan</v>
      </c>
      <c r="D48" t="s">
        <v>212</v>
      </c>
      <c r="E48" t="str">
        <f t="shared" si="6"/>
        <v>Sara</v>
      </c>
      <c r="F48" t="s">
        <v>213</v>
      </c>
      <c r="G48" s="5" t="s">
        <v>214</v>
      </c>
      <c r="H48" t="s">
        <v>32</v>
      </c>
      <c r="I48" t="str">
        <f t="shared" si="7"/>
        <v>Calamba City</v>
      </c>
      <c r="J48" t="s">
        <v>15</v>
      </c>
      <c r="K48" t="str">
        <f t="shared" si="8"/>
        <v>Philippines</v>
      </c>
      <c r="L48" s="6">
        <v>46218</v>
      </c>
      <c r="M48" t="s">
        <v>16</v>
      </c>
      <c r="N48" t="str">
        <f>PROPER(TRIM(M48))</f>
        <v>Active</v>
      </c>
      <c r="O48" t="s">
        <v>17</v>
      </c>
      <c r="P48" t="str">
        <f t="shared" si="9"/>
        <v>Online</v>
      </c>
    </row>
    <row r="49" spans="1:16" x14ac:dyDescent="0.3">
      <c r="A49">
        <v>48</v>
      </c>
      <c r="B49" t="s">
        <v>215</v>
      </c>
      <c r="C49" t="str">
        <f t="shared" si="5"/>
        <v>Wilson</v>
      </c>
      <c r="D49" t="s">
        <v>216</v>
      </c>
      <c r="E49" t="str">
        <f t="shared" si="6"/>
        <v>James</v>
      </c>
      <c r="F49" t="s">
        <v>217</v>
      </c>
      <c r="G49" s="5" t="s">
        <v>218</v>
      </c>
      <c r="H49" t="s">
        <v>14</v>
      </c>
      <c r="I49" t="str">
        <f t="shared" si="7"/>
        <v>Batangas City</v>
      </c>
      <c r="J49" t="s">
        <v>15</v>
      </c>
      <c r="K49" t="str">
        <f t="shared" si="8"/>
        <v>Philippines</v>
      </c>
      <c r="L49" s="6">
        <v>46222</v>
      </c>
      <c r="M49" t="s">
        <v>38</v>
      </c>
      <c r="N49" t="str">
        <f>PROPER(TRIM(M49))</f>
        <v>Prospect</v>
      </c>
      <c r="O49" t="s">
        <v>22</v>
      </c>
      <c r="P49" t="str">
        <f t="shared" si="9"/>
        <v>Referral</v>
      </c>
    </row>
    <row r="50" spans="1:16" x14ac:dyDescent="0.3">
      <c r="A50">
        <v>49</v>
      </c>
      <c r="B50" t="s">
        <v>219</v>
      </c>
      <c r="C50" t="str">
        <f t="shared" si="5"/>
        <v>Brown</v>
      </c>
      <c r="D50" t="s">
        <v>220</v>
      </c>
      <c r="E50" t="str">
        <f t="shared" si="6"/>
        <v>Emma</v>
      </c>
      <c r="F50" t="s">
        <v>221</v>
      </c>
      <c r="G50" s="5" t="s">
        <v>222</v>
      </c>
      <c r="H50" t="s">
        <v>89</v>
      </c>
      <c r="I50" t="str">
        <f t="shared" si="7"/>
        <v>San Jose</v>
      </c>
      <c r="J50" t="s">
        <v>15</v>
      </c>
      <c r="K50" t="str">
        <f t="shared" si="8"/>
        <v>Philippines</v>
      </c>
      <c r="L50" s="6">
        <v>45861</v>
      </c>
      <c r="M50" t="s">
        <v>16</v>
      </c>
      <c r="N50" t="str">
        <f>PROPER(TRIM(M50))</f>
        <v>Active</v>
      </c>
      <c r="O50" t="s">
        <v>33</v>
      </c>
      <c r="P50" t="str">
        <f t="shared" si="9"/>
        <v>Facebook</v>
      </c>
    </row>
    <row r="51" spans="1:16" x14ac:dyDescent="0.3">
      <c r="A51">
        <v>50</v>
      </c>
      <c r="B51" t="s">
        <v>223</v>
      </c>
      <c r="C51" t="str">
        <f t="shared" si="5"/>
        <v>Taylor</v>
      </c>
      <c r="D51" t="s">
        <v>224</v>
      </c>
      <c r="E51" t="str">
        <f t="shared" si="6"/>
        <v>Olivia</v>
      </c>
      <c r="F51" t="s">
        <v>225</v>
      </c>
      <c r="G51" s="5" t="s">
        <v>226</v>
      </c>
      <c r="H51" t="s">
        <v>26</v>
      </c>
      <c r="I51" t="str">
        <f t="shared" si="7"/>
        <v>Tanauan City</v>
      </c>
      <c r="J51" t="s">
        <v>15</v>
      </c>
      <c r="K51" t="str">
        <f t="shared" si="8"/>
        <v>Philippines</v>
      </c>
      <c r="L51" s="6">
        <v>46230</v>
      </c>
      <c r="M51" t="s">
        <v>258</v>
      </c>
      <c r="N51" t="str">
        <f>PROPER(TRIM(M51))</f>
        <v>Active</v>
      </c>
      <c r="O51" t="s">
        <v>28</v>
      </c>
      <c r="P51" t="str">
        <f t="shared" si="9"/>
        <v>Website</v>
      </c>
    </row>
  </sheetData>
  <dataValidations count="2">
    <dataValidation type="list" allowBlank="1" showInputMessage="1" showErrorMessage="1" sqref="N1:N1048576" xr:uid="{22E1D35C-1600-4326-AAE0-5EAEE7F2F9AC}">
      <formula1>"Active,Inactive,Prospect"</formula1>
    </dataValidation>
    <dataValidation type="list" allowBlank="1" showInputMessage="1" showErrorMessage="1" sqref="P1:P1048576" xr:uid="{0542B6BB-12A8-411D-9ADE-8CA65DE5E04C}">
      <formula1>"Online,Referral,Website,Facebook"</formula1>
    </dataValidation>
  </dataValidations>
  <pageMargins left="0.75" right="0.75" top="1" bottom="1" header="0.5" footer="0.5"/>
  <pageSetup paperSize="9" orientation="portrait" horizontalDpi="4294967293" verticalDpi="0" r:id="rId1"/>
  <ignoredErrors>
    <ignoredError sqref="G2:G51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Iverene Grace Causapin</cp:lastModifiedBy>
  <dcterms:created xsi:type="dcterms:W3CDTF">2026-09-07T04:49:45Z</dcterms:created>
  <dcterms:modified xsi:type="dcterms:W3CDTF">2026-09-07T05:36:37Z</dcterms:modified>
</cp:coreProperties>
</file>