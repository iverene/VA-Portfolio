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Iverene Grace\Virtual Assistant Files\Portfolio\Data and Spreadsheet Management\"/>
    </mc:Choice>
  </mc:AlternateContent>
  <xr:revisionPtr revIDLastSave="0" documentId="13_ncr:1_{B0A65D56-3D2E-4322-9087-09B4E8923A38}" xr6:coauthVersionLast="47" xr6:coauthVersionMax="47" xr10:uidLastSave="{00000000-0000-0000-0000-000000000000}"/>
  <bookViews>
    <workbookView xWindow="-108" yWindow="-108" windowWidth="23256" windowHeight="13176" activeTab="4" xr2:uid="{1EC260D4-78D5-4165-84ED-4AAAD535C4F0}"/>
  </bookViews>
  <sheets>
    <sheet name="Raw Data" sheetId="1" r:id="rId1"/>
    <sheet name="Data Layer" sheetId="6" r:id="rId2"/>
    <sheet name="Analysis Layer" sheetId="2" r:id="rId3"/>
    <sheet name="Visualization Layer" sheetId="3" r:id="rId4"/>
    <sheet name="Settings" sheetId="4" r:id="rId5"/>
  </sheets>
  <definedNames>
    <definedName name="Slicer_Metric_Type">#N/A</definedName>
  </definedNames>
  <calcPr calcId="191029"/>
  <pivotCaches>
    <pivotCache cacheId="0" r:id="rId6"/>
    <pivotCache cacheId="1"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 i="6" l="1" a="1"/>
  <c r="S4" i="6" s="1"/>
  <c r="F7" i="4"/>
  <c r="K15" i="2"/>
  <c r="G10" i="2"/>
  <c r="K13" i="2"/>
  <c r="G9" i="2"/>
  <c r="K11" i="2"/>
  <c r="G8" i="2"/>
  <c r="K9" i="2"/>
  <c r="G7" i="2"/>
  <c r="K7" i="2"/>
  <c r="G6" i="2"/>
  <c r="B5" i="2"/>
  <c r="F35" i="2"/>
  <c r="F34" i="2"/>
  <c r="F33" i="2"/>
  <c r="F32" i="2"/>
  <c r="F24" i="2"/>
  <c r="F26" i="2"/>
  <c r="F25" i="2"/>
  <c r="S3" i="6" a="1"/>
  <c r="S3" i="6"/>
  <c r="S5" i="6" a="1"/>
  <c r="S5" i="6" s="1"/>
  <c r="S6" i="6" a="1"/>
  <c r="S6" i="6" s="1"/>
  <c r="S7" i="6" a="1"/>
  <c r="S7" i="6" s="1"/>
  <c r="S8" i="6" a="1"/>
  <c r="S8" i="6" s="1"/>
  <c r="S9" i="6" a="1"/>
  <c r="S9" i="6" s="1"/>
  <c r="S10" i="6" a="1"/>
  <c r="S10" i="6"/>
  <c r="S11" i="6" a="1"/>
  <c r="S11" i="6" s="1"/>
  <c r="S12" i="6" a="1"/>
  <c r="S12" i="6" s="1"/>
  <c r="S13" i="6" a="1"/>
  <c r="S13" i="6" s="1"/>
  <c r="S14" i="6" a="1"/>
  <c r="S14" i="6" s="1"/>
  <c r="S15" i="6" a="1"/>
  <c r="S15" i="6" s="1"/>
  <c r="S16" i="6" a="1"/>
  <c r="S16" i="6" s="1"/>
  <c r="S17" i="6" a="1"/>
  <c r="S17" i="6" s="1"/>
  <c r="S18" i="6" a="1"/>
  <c r="S18" i="6" s="1"/>
  <c r="S19" i="6" a="1"/>
  <c r="S19" i="6" s="1"/>
  <c r="S20" i="6" a="1"/>
  <c r="S20" i="6"/>
  <c r="S21" i="6" a="1"/>
  <c r="S21" i="6" s="1"/>
  <c r="S22" i="6" a="1"/>
  <c r="S22" i="6" s="1"/>
  <c r="S23" i="6" a="1"/>
  <c r="S23" i="6" s="1"/>
  <c r="S24" i="6" a="1"/>
  <c r="S24" i="6" s="1"/>
  <c r="S25" i="6" a="1"/>
  <c r="S25" i="6" s="1"/>
  <c r="S26" i="6" a="1"/>
  <c r="S26" i="6" s="1"/>
  <c r="S27" i="6" a="1"/>
  <c r="S27" i="6" s="1"/>
  <c r="S28" i="6" a="1"/>
  <c r="S28" i="6" s="1"/>
  <c r="S29" i="6" a="1"/>
  <c r="S29" i="6" s="1"/>
  <c r="S30" i="6" a="1"/>
  <c r="S30" i="6" s="1"/>
  <c r="S31" i="6" a="1"/>
  <c r="S31" i="6" s="1"/>
  <c r="S2" i="6" a="1"/>
  <c r="S2" i="6" s="1"/>
  <c r="P2" i="6" a="1"/>
  <c r="P2" i="6" s="1"/>
  <c r="B14" i="2"/>
  <c r="B11" i="2"/>
  <c r="B8" i="2"/>
  <c r="AE3" i="6" a="1"/>
  <c r="AE3" i="6" s="1"/>
  <c r="AE4" i="6" a="1"/>
  <c r="AE4" i="6" s="1"/>
  <c r="AE5" i="6" a="1"/>
  <c r="AE5" i="6" s="1"/>
  <c r="AE6" i="6" a="1"/>
  <c r="AE6" i="6" s="1"/>
  <c r="AE7" i="6" a="1"/>
  <c r="AE7" i="6"/>
  <c r="AE8" i="6" a="1"/>
  <c r="AE8" i="6" s="1"/>
  <c r="AE9" i="6" a="1"/>
  <c r="AE9" i="6" s="1"/>
  <c r="AE10" i="6" a="1"/>
  <c r="AE10" i="6" s="1"/>
  <c r="AE11" i="6" a="1"/>
  <c r="AE11" i="6" s="1"/>
  <c r="AE12" i="6" a="1"/>
  <c r="AE12" i="6" s="1"/>
  <c r="AE13" i="6" a="1"/>
  <c r="AE13" i="6" s="1"/>
  <c r="AE14" i="6" a="1"/>
  <c r="AE14" i="6" s="1"/>
  <c r="AE15" i="6" a="1"/>
  <c r="AE15" i="6" s="1"/>
  <c r="AE16" i="6" a="1"/>
  <c r="AE16" i="6" s="1"/>
  <c r="AE17" i="6" a="1"/>
  <c r="AE17" i="6" s="1"/>
  <c r="AE18" i="6" a="1"/>
  <c r="AE18" i="6" s="1"/>
  <c r="AE19" i="6" a="1"/>
  <c r="AE19" i="6" s="1"/>
  <c r="AE20" i="6" a="1"/>
  <c r="AE20" i="6" s="1"/>
  <c r="AE21" i="6" a="1"/>
  <c r="AE21" i="6" s="1"/>
  <c r="AE22" i="6" a="1"/>
  <c r="AE22" i="6" s="1"/>
  <c r="AE23" i="6" a="1"/>
  <c r="AE23" i="6" s="1"/>
  <c r="AE24" i="6" a="1"/>
  <c r="AE24" i="6" s="1"/>
  <c r="AE25" i="6" a="1"/>
  <c r="AE25" i="6" s="1"/>
  <c r="AE26" i="6" a="1"/>
  <c r="AE26" i="6" s="1"/>
  <c r="AE27" i="6" a="1"/>
  <c r="AE27" i="6" s="1"/>
  <c r="AE28" i="6" a="1"/>
  <c r="AE28" i="6" s="1"/>
  <c r="AE29" i="6" a="1"/>
  <c r="AE29" i="6" s="1"/>
  <c r="AE30" i="6" a="1"/>
  <c r="AE30" i="6" s="1"/>
  <c r="AE31" i="6" a="1"/>
  <c r="AE31" i="6" s="1"/>
  <c r="AE2" i="6" a="1"/>
  <c r="AE2" i="6" s="1"/>
  <c r="AC3" i="6" a="1"/>
  <c r="AC3" i="6" s="1"/>
  <c r="AC4" i="6" a="1"/>
  <c r="AC4" i="6" s="1"/>
  <c r="AC5" i="6" a="1"/>
  <c r="AC5" i="6" s="1"/>
  <c r="AC6" i="6" a="1"/>
  <c r="AC6" i="6" s="1"/>
  <c r="AC7" i="6" a="1"/>
  <c r="AC7" i="6" s="1"/>
  <c r="AC8" i="6" a="1"/>
  <c r="AC8" i="6" s="1"/>
  <c r="AC9" i="6" a="1"/>
  <c r="AC9" i="6" s="1"/>
  <c r="AC10" i="6" a="1"/>
  <c r="AC10" i="6" s="1"/>
  <c r="AC11" i="6" a="1"/>
  <c r="AC11" i="6" s="1"/>
  <c r="AC12" i="6" a="1"/>
  <c r="AC12" i="6" s="1"/>
  <c r="AC13" i="6" a="1"/>
  <c r="AC13" i="6" s="1"/>
  <c r="AC14" i="6" a="1"/>
  <c r="AC14" i="6" s="1"/>
  <c r="AC15" i="6" a="1"/>
  <c r="AC15" i="6" s="1"/>
  <c r="AC16" i="6" a="1"/>
  <c r="AC16" i="6" s="1"/>
  <c r="AC17" i="6" a="1"/>
  <c r="AC17" i="6" s="1"/>
  <c r="AC18" i="6" a="1"/>
  <c r="AC18" i="6" s="1"/>
  <c r="AC19" i="6" a="1"/>
  <c r="AC19" i="6" s="1"/>
  <c r="AC20" i="6" a="1"/>
  <c r="AC20" i="6" s="1"/>
  <c r="AC21" i="6" a="1"/>
  <c r="AC21" i="6" s="1"/>
  <c r="AC22" i="6" a="1"/>
  <c r="AC22" i="6" s="1"/>
  <c r="AC23" i="6" a="1"/>
  <c r="AC23" i="6" s="1"/>
  <c r="AC24" i="6" a="1"/>
  <c r="AC24" i="6" s="1"/>
  <c r="AC25" i="6" a="1"/>
  <c r="AC25" i="6" s="1"/>
  <c r="AC26" i="6" a="1"/>
  <c r="AC26" i="6" s="1"/>
  <c r="AC27" i="6" a="1"/>
  <c r="AC27" i="6" s="1"/>
  <c r="AC28" i="6" a="1"/>
  <c r="AC28" i="6" s="1"/>
  <c r="AC29" i="6" a="1"/>
  <c r="AC29" i="6" s="1"/>
  <c r="AC30" i="6" a="1"/>
  <c r="AC30" i="6" s="1"/>
  <c r="AC31" i="6" a="1"/>
  <c r="AC31" i="6" s="1"/>
  <c r="AC2" i="6" a="1"/>
  <c r="AC2" i="6" s="1"/>
  <c r="AA3" i="6" a="1"/>
  <c r="AA3" i="6" s="1"/>
  <c r="AA4" i="6" a="1"/>
  <c r="AA4" i="6" s="1"/>
  <c r="AA5" i="6" a="1"/>
  <c r="AA5" i="6" s="1"/>
  <c r="AA6" i="6" a="1"/>
  <c r="AA6" i="6" s="1"/>
  <c r="AA7" i="6" a="1"/>
  <c r="AA7" i="6" s="1"/>
  <c r="AA8" i="6" a="1"/>
  <c r="AA8" i="6" s="1"/>
  <c r="AA9" i="6" a="1"/>
  <c r="AA9" i="6" s="1"/>
  <c r="AA10" i="6" a="1"/>
  <c r="AA10" i="6" s="1"/>
  <c r="AA11" i="6" a="1"/>
  <c r="AA11" i="6" s="1"/>
  <c r="AA12" i="6" a="1"/>
  <c r="AA12" i="6" s="1"/>
  <c r="AA13" i="6" a="1"/>
  <c r="AA13" i="6" s="1"/>
  <c r="AA14" i="6" a="1"/>
  <c r="AA14" i="6" s="1"/>
  <c r="AA15" i="6" a="1"/>
  <c r="AA15" i="6" s="1"/>
  <c r="AA16" i="6" a="1"/>
  <c r="AA16" i="6" s="1"/>
  <c r="AA17" i="6" a="1"/>
  <c r="AA17" i="6" s="1"/>
  <c r="AA18" i="6" a="1"/>
  <c r="AA18" i="6" s="1"/>
  <c r="AA19" i="6" a="1"/>
  <c r="AA19" i="6" s="1"/>
  <c r="AA20" i="6" a="1"/>
  <c r="AA20" i="6" s="1"/>
  <c r="AA21" i="6" a="1"/>
  <c r="AA21" i="6" s="1"/>
  <c r="AA22" i="6" a="1"/>
  <c r="AA22" i="6" s="1"/>
  <c r="AA23" i="6" a="1"/>
  <c r="AA23" i="6" s="1"/>
  <c r="AA24" i="6" a="1"/>
  <c r="AA24" i="6" s="1"/>
  <c r="AA25" i="6" a="1"/>
  <c r="AA25" i="6" s="1"/>
  <c r="AA26" i="6" a="1"/>
  <c r="AA26" i="6" s="1"/>
  <c r="AA27" i="6" a="1"/>
  <c r="AA27" i="6" s="1"/>
  <c r="AA28" i="6" a="1"/>
  <c r="AA28" i="6" s="1"/>
  <c r="AA29" i="6" a="1"/>
  <c r="AA29" i="6" s="1"/>
  <c r="AA30" i="6" a="1"/>
  <c r="AA30" i="6" s="1"/>
  <c r="AA31" i="6" a="1"/>
  <c r="AA31" i="6"/>
  <c r="AA2" i="6" a="1"/>
  <c r="AA2" i="6" s="1"/>
  <c r="Y3" i="6" a="1"/>
  <c r="Y3" i="6" s="1"/>
  <c r="Y4" i="6" a="1"/>
  <c r="Y4" i="6" s="1"/>
  <c r="Y5" i="6" a="1"/>
  <c r="Y5" i="6" s="1"/>
  <c r="Y6" i="6" a="1"/>
  <c r="Y6" i="6" s="1"/>
  <c r="Y7" i="6" a="1"/>
  <c r="Y7" i="6" s="1"/>
  <c r="Y8" i="6" a="1"/>
  <c r="Y8" i="6" s="1"/>
  <c r="Y9" i="6" a="1"/>
  <c r="Y9" i="6" s="1"/>
  <c r="Y10" i="6" a="1"/>
  <c r="Y10" i="6" s="1"/>
  <c r="Y11" i="6" a="1"/>
  <c r="Y11" i="6" s="1"/>
  <c r="Y12" i="6" a="1"/>
  <c r="Y12" i="6"/>
  <c r="Y13" i="6" a="1"/>
  <c r="Y13" i="6" s="1"/>
  <c r="Y14" i="6" a="1"/>
  <c r="Y14" i="6" s="1"/>
  <c r="Y15" i="6" a="1"/>
  <c r="Y15" i="6" s="1"/>
  <c r="Y16" i="6" a="1"/>
  <c r="Y16" i="6" s="1"/>
  <c r="Y17" i="6" a="1"/>
  <c r="Y17" i="6" s="1"/>
  <c r="Y18" i="6" a="1"/>
  <c r="Y18" i="6" s="1"/>
  <c r="Y19" i="6" a="1"/>
  <c r="Y19" i="6" s="1"/>
  <c r="Y20" i="6" a="1"/>
  <c r="Y20" i="6" s="1"/>
  <c r="Y21" i="6" a="1"/>
  <c r="Y21" i="6" s="1"/>
  <c r="Y22" i="6" a="1"/>
  <c r="Y22" i="6" s="1"/>
  <c r="Y23" i="6" a="1"/>
  <c r="Y23" i="6" s="1"/>
  <c r="Y24" i="6" a="1"/>
  <c r="Y24" i="6" s="1"/>
  <c r="Y25" i="6" a="1"/>
  <c r="Y25" i="6" s="1"/>
  <c r="Y26" i="6" a="1"/>
  <c r="Y26" i="6" s="1"/>
  <c r="Y27" i="6" a="1"/>
  <c r="Y27" i="6" s="1"/>
  <c r="Y28" i="6" a="1"/>
  <c r="Y28" i="6" s="1"/>
  <c r="Y29" i="6" a="1"/>
  <c r="Y29" i="6" s="1"/>
  <c r="Y30" i="6" a="1"/>
  <c r="Y30" i="6" s="1"/>
  <c r="Y31" i="6" a="1"/>
  <c r="Y31" i="6" s="1"/>
  <c r="Y2" i="6" a="1"/>
  <c r="Y2" i="6" s="1"/>
  <c r="W2" i="6" a="1"/>
  <c r="W2" i="6" s="1"/>
  <c r="W3" i="6" a="1"/>
  <c r="W3" i="6" s="1"/>
  <c r="W4" i="6" a="1"/>
  <c r="W4" i="6" s="1"/>
  <c r="W5" i="6" a="1"/>
  <c r="W5" i="6" s="1"/>
  <c r="W6" i="6" a="1"/>
  <c r="W6" i="6" s="1"/>
  <c r="W7" i="6" a="1"/>
  <c r="W7" i="6"/>
  <c r="W8" i="6" a="1"/>
  <c r="W8" i="6" s="1"/>
  <c r="W9" i="6" a="1"/>
  <c r="W9" i="6" s="1"/>
  <c r="W10" i="6" a="1"/>
  <c r="W10" i="6" s="1"/>
  <c r="W11" i="6" a="1"/>
  <c r="W11" i="6" s="1"/>
  <c r="W12" i="6" a="1"/>
  <c r="W12" i="6" s="1"/>
  <c r="W13" i="6" a="1"/>
  <c r="W13" i="6" s="1"/>
  <c r="W14" i="6" a="1"/>
  <c r="W14" i="6" s="1"/>
  <c r="W15" i="6" a="1"/>
  <c r="W15" i="6" s="1"/>
  <c r="W16" i="6" a="1"/>
  <c r="W16" i="6" s="1"/>
  <c r="W17" i="6" a="1"/>
  <c r="W17" i="6" s="1"/>
  <c r="W18" i="6" a="1"/>
  <c r="W18" i="6" s="1"/>
  <c r="W19" i="6" a="1"/>
  <c r="W19" i="6" s="1"/>
  <c r="W20" i="6" a="1"/>
  <c r="W20" i="6" s="1"/>
  <c r="W21" i="6" a="1"/>
  <c r="W21" i="6" s="1"/>
  <c r="W22" i="6" a="1"/>
  <c r="W22" i="6" s="1"/>
  <c r="W23" i="6" a="1"/>
  <c r="W23" i="6" s="1"/>
  <c r="W24" i="6" a="1"/>
  <c r="W24" i="6" s="1"/>
  <c r="W25" i="6" a="1"/>
  <c r="W25" i="6" s="1"/>
  <c r="W26" i="6" a="1"/>
  <c r="W26" i="6" s="1"/>
  <c r="W27" i="6" a="1"/>
  <c r="W27" i="6" s="1"/>
  <c r="W28" i="6" a="1"/>
  <c r="W28" i="6" s="1"/>
  <c r="W29" i="6" a="1"/>
  <c r="W29" i="6" s="1"/>
  <c r="W30" i="6" a="1"/>
  <c r="W30" i="6"/>
  <c r="W31" i="6" a="1"/>
  <c r="W31" i="6" s="1"/>
  <c r="P3" i="6" a="1"/>
  <c r="P3" i="6" s="1"/>
  <c r="P4" i="6" a="1"/>
  <c r="P4" i="6" s="1"/>
  <c r="P5" i="6" a="1"/>
  <c r="P5" i="6" s="1"/>
  <c r="P6" i="6" a="1"/>
  <c r="P6" i="6" s="1"/>
  <c r="P7" i="6" a="1"/>
  <c r="P7" i="6" s="1"/>
  <c r="P8" i="6" a="1"/>
  <c r="P8" i="6" s="1"/>
  <c r="P9" i="6" a="1"/>
  <c r="P9" i="6" s="1"/>
  <c r="P10" i="6" a="1"/>
  <c r="P10" i="6" s="1"/>
  <c r="P11" i="6" a="1"/>
  <c r="P11" i="6" s="1"/>
  <c r="P12" i="6" a="1"/>
  <c r="P12" i="6" s="1"/>
  <c r="P13" i="6" a="1"/>
  <c r="P13" i="6" s="1"/>
  <c r="P14" i="6" a="1"/>
  <c r="P14" i="6" s="1"/>
  <c r="P15" i="6" a="1"/>
  <c r="P15" i="6" s="1"/>
  <c r="P16" i="6" a="1"/>
  <c r="P16" i="6" s="1"/>
  <c r="P17" i="6" a="1"/>
  <c r="P17" i="6" s="1"/>
  <c r="P18" i="6" a="1"/>
  <c r="P18" i="6" s="1"/>
  <c r="P19" i="6" a="1"/>
  <c r="P19" i="6"/>
  <c r="P20" i="6" a="1"/>
  <c r="P20" i="6" s="1"/>
  <c r="P21" i="6" a="1"/>
  <c r="P21" i="6" s="1"/>
  <c r="P22" i="6" a="1"/>
  <c r="P22" i="6" s="1"/>
  <c r="P23" i="6" a="1"/>
  <c r="P23" i="6" s="1"/>
  <c r="P24" i="6" a="1"/>
  <c r="P24" i="6" s="1"/>
  <c r="P25" i="6" a="1"/>
  <c r="P25" i="6" s="1"/>
  <c r="P26" i="6" a="1"/>
  <c r="P26" i="6" s="1"/>
  <c r="P27" i="6" a="1"/>
  <c r="P27" i="6" s="1"/>
  <c r="P28" i="6" a="1"/>
  <c r="P28" i="6" s="1"/>
  <c r="P29" i="6" a="1"/>
  <c r="P29" i="6" s="1"/>
  <c r="P30" i="6" a="1"/>
  <c r="P30" i="6" s="1"/>
  <c r="P31" i="6" a="1"/>
  <c r="P31" i="6" s="1"/>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2"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2" i="6"/>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2" i="6"/>
  <c r="I2"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 i="6"/>
  <c r="A35" i="6" l="1" a="1"/>
  <c r="A35" i="6" s="1"/>
  <c r="K10" i="2"/>
  <c r="K12" i="2"/>
  <c r="K14" i="2"/>
  <c r="F6" i="2"/>
  <c r="K6" i="2"/>
  <c r="K8" i="2"/>
  <c r="F15" i="2"/>
  <c r="F10" i="2"/>
  <c r="F8" i="2"/>
  <c r="F7" i="2"/>
  <c r="F9" i="2"/>
  <c r="F17" i="2"/>
  <c r="F19" i="2"/>
  <c r="B17" i="2"/>
  <c r="F18" i="2"/>
  <c r="F16"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1CDDCA-B8C6-4325-9282-20AAA8400BBA}" keepAlive="1" name="Query - Table10" description="Connection to the 'Table10' query in the workbook." type="5" refreshedVersion="0" background="1">
    <dbPr connection="Provider=Microsoft.Mashup.OleDb.1;Data Source=$Workbook$;Location=Table10;Extended Properties=&quot;&quot;" command="SELECT * FROM [Table1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<sst xmlns="http://schemas.openxmlformats.org/spreadsheetml/2006/main" count="1084" uniqueCount="131">
  <si>
    <t>Timestamp</t>
  </si>
  <si>
    <t>2025/11/12 7:07:10 PM GMT+8</t>
  </si>
  <si>
    <t>21 - 23</t>
  </si>
  <si>
    <t>Male</t>
  </si>
  <si>
    <t>More than 5 hours daily</t>
  </si>
  <si>
    <t>Facebook;Instagram;TikTok</t>
  </si>
  <si>
    <t>TikTok</t>
  </si>
  <si>
    <t>Occasionally</t>
  </si>
  <si>
    <t>Yes</t>
  </si>
  <si>
    <t>Sometimes</t>
  </si>
  <si>
    <t>5 - Very important</t>
  </si>
  <si>
    <t>2 - Slightly important</t>
  </si>
  <si>
    <t>4 - Important</t>
  </si>
  <si>
    <t>Video ads</t>
  </si>
  <si>
    <t>2025/11/12 7:08:17 PM GMT+8</t>
  </si>
  <si>
    <t>18 - 20</t>
  </si>
  <si>
    <t>Promotional posts (discounts, giveaways)</t>
  </si>
  <si>
    <t>2025/11/12 7:14:23 PM GMT+8</t>
  </si>
  <si>
    <t>Female</t>
  </si>
  <si>
    <t>3 - Moderately important</t>
  </si>
  <si>
    <t>2025/11/12 7:16:24 PM GMT+8</t>
  </si>
  <si>
    <t>Facebook;TikTok</t>
  </si>
  <si>
    <t>Never</t>
  </si>
  <si>
    <t>2025/11/12 7:17:46 PM GMT+8</t>
  </si>
  <si>
    <t>3-5 hours daily</t>
  </si>
  <si>
    <t>2025/11/12 7:21:56 PM GMT+8</t>
  </si>
  <si>
    <t>Facebook</t>
  </si>
  <si>
    <t>2025/11/12 7:22:38 PM GMT+8</t>
  </si>
  <si>
    <t>1-2 hours daily</t>
  </si>
  <si>
    <t>Facebook;TikTok;X (Twitter)</t>
  </si>
  <si>
    <t>YouTube</t>
  </si>
  <si>
    <t>2025/11/12 7:23:55 PM GMT+8</t>
  </si>
  <si>
    <t>1 - Not important at all</t>
  </si>
  <si>
    <t>2025/11/12 7:27:16 PM GMT+8</t>
  </si>
  <si>
    <t>Facebook;TikTok;YouTube</t>
  </si>
  <si>
    <t>2025/11/12 7:44:30 PM GMT+8</t>
  </si>
  <si>
    <t>2025/11/12 7:57:05 PM GMT+8</t>
  </si>
  <si>
    <t>Often</t>
  </si>
  <si>
    <t>No</t>
  </si>
  <si>
    <t>2025/11/12 8:21:59 PM GMT+8</t>
  </si>
  <si>
    <t>Always</t>
  </si>
  <si>
    <t>2025/11/12 8:24:14 PM GMT+8</t>
  </si>
  <si>
    <t>Image-based ads</t>
  </si>
  <si>
    <t>2025/11/12 8:41:23 PM GMT+8</t>
  </si>
  <si>
    <t>2025/11/12 9:38:59 PM GMT+8</t>
  </si>
  <si>
    <t>2025/11/12 10:46:22 PM GMT+8</t>
  </si>
  <si>
    <t>Facebook;Instagram</t>
  </si>
  <si>
    <t>Influencer content</t>
  </si>
  <si>
    <t>2025/11/13 11:48:17 AM GMT+8</t>
  </si>
  <si>
    <t>2025/11/13 1:30:02 PM GMT+8</t>
  </si>
  <si>
    <t>Instagram;TikTok;YouTube</t>
  </si>
  <si>
    <t>2025/11/13 1:31:32 PM GMT+8</t>
  </si>
  <si>
    <t>2025/11/13 1:56:11 PM GMT+8</t>
  </si>
  <si>
    <t>2025/11/13 7:14:24 PM GMT+8</t>
  </si>
  <si>
    <t>Instagram;TikTok;X (Twitter)</t>
  </si>
  <si>
    <t>Instagram</t>
  </si>
  <si>
    <t>2025/11/14 6:09:41 AM GMT+8</t>
  </si>
  <si>
    <t>TikTok;YouTube;X (Twitter)</t>
  </si>
  <si>
    <t>2025/11/14 7:24:01 AM GMT+8</t>
  </si>
  <si>
    <t>2025/11/14 7:35:57 AM GMT+8</t>
  </si>
  <si>
    <t>2025/11/14 7:36:39 AM GMT+8</t>
  </si>
  <si>
    <t>15 - 17</t>
  </si>
  <si>
    <t>2025/11/14 7:37:01 AM GMT+8</t>
  </si>
  <si>
    <t>2025/11/14 7:38:47 AM GMT+8</t>
  </si>
  <si>
    <t>Rarely</t>
  </si>
  <si>
    <t>2025/11/14 7:40:05 AM GMT+8</t>
  </si>
  <si>
    <t>Instagram;YouTube;X (Twitter)</t>
  </si>
  <si>
    <t>2025/11/14 8:12:14 AM GMT+8</t>
  </si>
  <si>
    <t>2025/11/14 8:15:06 AM GMT+8</t>
  </si>
  <si>
    <t>Age Group</t>
  </si>
  <si>
    <t>Gender</t>
  </si>
  <si>
    <t>Social Media Usage Time</t>
  </si>
  <si>
    <t>Platform with most effective ads</t>
  </si>
  <si>
    <t>Engagement frequency</t>
  </si>
  <si>
    <t xml:space="preserve">Purchase frequency after seeing an ad </t>
  </si>
  <si>
    <t>Trust in ads</t>
  </si>
  <si>
    <t>Likelihood to recommend</t>
  </si>
  <si>
    <t>Factors influencing purchase [Product quality]</t>
  </si>
  <si>
    <t>Factors influencing purchase [Price and discounts]</t>
  </si>
  <si>
    <t>Factors influencing purchase [Influencer endorsements]</t>
  </si>
  <si>
    <t>Factors influencing purchase [Brand reputation]</t>
  </si>
  <si>
    <t>Factors influencing purchase [Online reviews]</t>
  </si>
  <si>
    <t>Type of ad that attracts the respondents the most</t>
  </si>
  <si>
    <t>Discovered new brand/product through social media in the last 3 months</t>
  </si>
  <si>
    <t>Platforms the respondents use most often</t>
  </si>
  <si>
    <t xml:space="preserve">YouTube </t>
  </si>
  <si>
    <t>X (Twitter)</t>
  </si>
  <si>
    <t>Purchase frequency after seeing an ad</t>
  </si>
  <si>
    <t>Product quality</t>
  </si>
  <si>
    <t>Price and discounts</t>
  </si>
  <si>
    <t>Influencer endorsements</t>
  </si>
  <si>
    <t>Brand reputation</t>
  </si>
  <si>
    <t>Online reviews</t>
  </si>
  <si>
    <t>Brand Discovery Rate</t>
  </si>
  <si>
    <t>KPI Summary Section</t>
  </si>
  <si>
    <t>Purchase Conversion Rate</t>
  </si>
  <si>
    <t>Average Trust Score</t>
  </si>
  <si>
    <t>Engagement Index</t>
  </si>
  <si>
    <t>Platforms</t>
  </si>
  <si>
    <t>Users Count</t>
  </si>
  <si>
    <t>Most Effective Count</t>
  </si>
  <si>
    <t>Recommendation Score</t>
  </si>
  <si>
    <t>z</t>
  </si>
  <si>
    <t>Tables and Charts Section</t>
  </si>
  <si>
    <t>Social Media Usage vs. Effectiveness</t>
  </si>
  <si>
    <t>Trust in Ads by Age Group</t>
  </si>
  <si>
    <t>Grand Total</t>
  </si>
  <si>
    <t>Trust Score</t>
  </si>
  <si>
    <t>Importance of Purchase Factors</t>
  </si>
  <si>
    <t>Factors</t>
  </si>
  <si>
    <t>Average Rating per factor</t>
  </si>
  <si>
    <t>Count</t>
  </si>
  <si>
    <t>Purchase Index</t>
  </si>
  <si>
    <t>Respondent</t>
  </si>
  <si>
    <t>Row Labels</t>
  </si>
  <si>
    <t>Column Labels</t>
  </si>
  <si>
    <t>Distribution of Social Media Usage Time</t>
  </si>
  <si>
    <t>Ad Type</t>
  </si>
  <si>
    <t>Most Engaging Ad Formats</t>
  </si>
  <si>
    <t>Sum of Count</t>
  </si>
  <si>
    <t>Platform</t>
  </si>
  <si>
    <t>Metric Type</t>
  </si>
  <si>
    <t>Most Effective</t>
  </si>
  <si>
    <t>User</t>
  </si>
  <si>
    <t>Respondent ID</t>
  </si>
  <si>
    <t>Platform 1</t>
  </si>
  <si>
    <t>Platform 2</t>
  </si>
  <si>
    <t>Platform 3</t>
  </si>
  <si>
    <t>Engagement frequency2</t>
  </si>
  <si>
    <t>Purchase frequency after seeing an ad3</t>
  </si>
  <si>
    <t xml:space="preserve">Provide at least 5 important brief insights in a bullet points from this Digital and Brand Awareness Survey results. Note: Do NOT include symbols such as ** or any markdown formatting. Keep your explanation short but meaningful. Write the insights immediately, do not include a starting sentence.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</si>
</sst>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6">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Manrope"/>
    </font>
    <font>
      <sz val="11"/>
      <color theme="1"/>
      <name val="Lato"/>
    </font>
    <font>
      <b/>
      <sz val="11"/>
      <color theme="1"/>
      <name val="Lato"/>
    </font>
    <font>
      <b/>
      <sz val="18"/>
      <color rgb="FF2F80ED"/>
      <name val="Lato"/>
    </font>
    <font>
      <sz val="11"/>
      <color theme="1"/>
      <name val="Inter"/>
    </font>
    <font>
      <b/>
      <sz val="11"/>
      <color theme="0"/>
      <name val="Inter"/>
    </font>
    <font>
      <b/>
      <sz val="11"/>
      <color theme="0"/>
      <name val="Raleway"/>
    </font>
    <font>
      <sz val="11"/>
      <color rgb="FFF5F6FA"/>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5F6FA"/>
        <bgColor indexed="64"/>
      </patternFill>
    </fill>
    <fill>
      <patternFill patternType="solid">
        <fgColor rgb="FF99CCFF"/>
        <bgColor indexed="64"/>
      </patternFill>
    </fill>
    <fill>
      <patternFill patternType="solid">
        <fgColor theme="8" tint="0.7999816888943144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33">
    <xf numFmtId="0" fontId="0" fillId="0" borderId="0" xfId="0"/>
    <xf numFmtId="0" fontId="18" fillId="0" borderId="0" xfId="0" applyFont="1"/>
    <xf numFmtId="0" fontId="18" fillId="0" borderId="0" xfId="0" applyFont="1" applyAlignment="1">
      <alignment horizontal="center"/>
    </xf>
    <xf numFmtId="0" fontId="0" fillId="0" borderId="0" xfId="0" pivotButton="1"/>
    <xf numFmtId="0" fontId="0" fillId="0" borderId="0" xfId="0" applyAlignment="1">
      <alignment horizontal="left"/>
    </xf>
    <xf numFmtId="0" fontId="19" fillId="33" borderId="0" xfId="0" applyFont="1" applyFill="1"/>
    <xf numFmtId="0" fontId="19" fillId="0" borderId="0" xfId="0" applyFont="1"/>
    <xf numFmtId="0" fontId="20" fillId="33" borderId="0" xfId="0" applyFont="1" applyFill="1"/>
    <xf numFmtId="9" fontId="21" fillId="33" borderId="0" xfId="42" applyFont="1" applyFill="1" applyAlignment="1"/>
    <xf numFmtId="0" fontId="22" fillId="0" borderId="0" xfId="0" applyFont="1" applyAlignment="1">
      <alignment horizontal="center"/>
    </xf>
    <xf numFmtId="0" fontId="22" fillId="0" borderId="0" xfId="0" applyFont="1"/>
    <xf numFmtId="9" fontId="22" fillId="0" borderId="0" xfId="42" applyFont="1" applyAlignment="1"/>
    <xf numFmtId="9" fontId="22" fillId="0" borderId="0" xfId="42" applyFont="1"/>
    <xf numFmtId="164" fontId="22" fillId="0" borderId="0" xfId="0" applyNumberFormat="1" applyFont="1"/>
    <xf numFmtId="0" fontId="22" fillId="0" borderId="0" xfId="0" pivotButton="1" applyFont="1"/>
    <xf numFmtId="0" fontId="22" fillId="0" borderId="0" xfId="0" applyFont="1" applyAlignment="1">
      <alignment horizontal="left"/>
    </xf>
    <xf numFmtId="164" fontId="22" fillId="0" borderId="0" xfId="0" applyNumberFormat="1" applyFont="1" applyAlignment="1">
      <alignment horizontal="center"/>
    </xf>
    <xf numFmtId="0" fontId="22" fillId="0" borderId="0" xfId="0" applyFont="1" applyAlignment="1">
      <alignment wrapText="1"/>
    </xf>
    <xf numFmtId="0" fontId="0" fillId="0" borderId="0" xfId="0" applyAlignment="1">
      <alignment wrapText="1"/>
    </xf>
    <xf numFmtId="0" fontId="17" fillId="0" borderId="0" xfId="0" applyFont="1" applyAlignment="1">
      <alignment wrapText="1"/>
    </xf>
    <xf numFmtId="0" fontId="17" fillId="0" borderId="0" xfId="0" applyFont="1"/>
    <xf numFmtId="0" fontId="24" fillId="0" borderId="0" xfId="0" applyFont="1"/>
    <xf numFmtId="0" fontId="22" fillId="0" borderId="0" xfId="0" applyFont="1" applyAlignment="1">
      <alignment horizontal="center" vertical="center"/>
    </xf>
    <xf numFmtId="9" fontId="22" fillId="0" borderId="11" xfId="42" applyFont="1" applyBorder="1" applyAlignment="1">
      <alignment horizontal="center" vertical="center"/>
    </xf>
    <xf numFmtId="164" fontId="22" fillId="0" borderId="11" xfId="0" applyNumberFormat="1" applyFont="1" applyBorder="1" applyAlignment="1">
      <alignment horizontal="center" vertical="center"/>
    </xf>
    <xf numFmtId="0" fontId="22" fillId="35" borderId="10" xfId="0" applyFont="1" applyFill="1" applyBorder="1" applyAlignment="1">
      <alignment horizontal="center" vertical="center"/>
    </xf>
    <xf numFmtId="0" fontId="22" fillId="35" borderId="0" xfId="0" applyFont="1" applyFill="1"/>
    <xf numFmtId="0" fontId="0" fillId="33" borderId="0" xfId="0" applyFill="1"/>
    <xf numFmtId="0" fontId="25" fillId="33" borderId="0" xfId="0" applyFont="1" applyFill="1"/>
    <xf numFmtId="0" fontId="23" fillId="34" borderId="0" xfId="0" applyFont="1" applyFill="1" applyAlignment="1">
      <alignment horizontal="center" vertical="center"/>
    </xf>
    <xf numFmtId="0" fontId="23" fillId="34" borderId="0" xfId="0" applyFont="1" applyFill="1" applyAlignment="1">
      <alignment horizontal="center"/>
    </xf>
    <xf numFmtId="0" fontId="22" fillId="35" borderId="0" xfId="0" applyFont="1" applyFill="1" applyAlignment="1">
      <alignment horizontal="center"/>
    </xf>
    <xf numFmtId="0" fontId="22" fillId="35" borderId="0" xfId="0" applyFont="1" applyFill="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71">
    <dxf>
      <font>
        <b val="0"/>
        <i val="0"/>
        <strike val="0"/>
        <condense val="0"/>
        <extend val="0"/>
        <outline val="0"/>
        <shadow val="0"/>
        <u val="none"/>
        <vertAlign val="baseline"/>
        <sz val="11"/>
        <color theme="1"/>
        <name val="Inter"/>
        <scheme val="none"/>
      </font>
    </dxf>
    <dxf>
      <font>
        <b val="0"/>
        <i val="0"/>
        <strike val="0"/>
        <condense val="0"/>
        <extend val="0"/>
        <outline val="0"/>
        <shadow val="0"/>
        <u val="none"/>
        <vertAlign val="baseline"/>
        <sz val="11"/>
        <color theme="1"/>
        <name val="Inter"/>
        <scheme val="none"/>
      </font>
    </dxf>
    <dxf>
      <font>
        <b val="0"/>
        <i val="0"/>
        <strike val="0"/>
        <condense val="0"/>
        <extend val="0"/>
        <outline val="0"/>
        <shadow val="0"/>
        <u val="none"/>
        <vertAlign val="baseline"/>
        <sz val="11"/>
        <color theme="1"/>
        <name val="Inter"/>
        <scheme val="none"/>
      </font>
    </dxf>
    <dxf>
      <font>
        <b val="0"/>
        <i val="0"/>
        <strike val="0"/>
        <condense val="0"/>
        <extend val="0"/>
        <outline val="0"/>
        <shadow val="0"/>
        <u val="none"/>
        <vertAlign val="baseline"/>
        <sz val="11"/>
        <color theme="1"/>
        <name val="Inter"/>
        <scheme val="none"/>
      </font>
    </dxf>
    <dxf>
      <font>
        <b val="0"/>
        <i val="0"/>
        <strike val="0"/>
        <condense val="0"/>
        <extend val="0"/>
        <outline val="0"/>
        <shadow val="0"/>
        <u val="none"/>
        <vertAlign val="baseline"/>
        <sz val="11"/>
        <color theme="1"/>
        <name val="Inter"/>
        <scheme val="none"/>
      </font>
    </dxf>
    <dxf>
      <font>
        <strike val="0"/>
        <outline val="0"/>
        <shadow val="0"/>
        <u val="none"/>
        <vertAlign val="baseline"/>
        <sz val="11"/>
        <color theme="1"/>
        <name val="Inter"/>
        <scheme val="none"/>
      </font>
      <alignment horizontal="center" vertical="bottom" textRotation="0" wrapText="0" indent="0" justifyLastLine="0" shrinkToFit="0" readingOrder="0"/>
    </dxf>
    <dxf>
      <font>
        <strike val="0"/>
        <outline val="0"/>
        <shadow val="0"/>
        <u val="none"/>
        <vertAlign val="baseline"/>
        <sz val="11"/>
        <color theme="1"/>
        <name val="Inter"/>
        <scheme val="none"/>
      </font>
    </dxf>
    <dxf>
      <font>
        <strike val="0"/>
        <outline val="0"/>
        <shadow val="0"/>
        <u val="none"/>
        <vertAlign val="baseline"/>
        <sz val="11"/>
        <color theme="1"/>
        <name val="Inter"/>
        <scheme val="none"/>
      </font>
    </dxf>
    <dxf>
      <font>
        <strike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dxf>
    <dxf>
      <font>
        <b val="0"/>
        <i val="0"/>
        <strike val="0"/>
        <condense val="0"/>
        <extend val="0"/>
        <outline val="0"/>
        <shadow val="0"/>
        <u val="none"/>
        <vertAlign val="baseline"/>
        <sz val="11"/>
        <color theme="1"/>
        <name val="Inter"/>
        <scheme val="none"/>
      </font>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dxf>
    <dxf>
      <font>
        <strike val="0"/>
        <outline val="0"/>
        <shadow val="0"/>
        <u val="none"/>
        <vertAlign val="baseline"/>
        <sz val="11"/>
        <color theme="1"/>
        <name val="Inter"/>
        <scheme val="none"/>
      </font>
    </dxf>
    <dxf>
      <font>
        <strike val="0"/>
        <outline val="0"/>
        <shadow val="0"/>
        <u val="none"/>
        <vertAlign val="baseline"/>
        <sz val="11"/>
        <color theme="1"/>
        <name val="Inter"/>
        <scheme val="none"/>
      </font>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Inter"/>
        <scheme val="none"/>
      </font>
    </dxf>
    <dxf>
      <font>
        <b val="0"/>
        <i val="0"/>
        <strike val="0"/>
        <condense val="0"/>
        <extend val="0"/>
        <outline val="0"/>
        <shadow val="0"/>
        <u val="none"/>
        <vertAlign val="baseline"/>
        <sz val="11"/>
        <color theme="1"/>
        <name val="Inter"/>
        <scheme val="none"/>
      </font>
      <alignment horizontal="center" vertical="bottom" textRotation="0" wrapText="0" indent="0" justifyLastLine="0" shrinkToFit="0" readingOrder="0"/>
    </dxf>
    <dxf>
      <font>
        <strike val="0"/>
        <outline val="0"/>
        <shadow val="0"/>
        <u val="none"/>
        <vertAlign val="baseline"/>
        <sz val="11"/>
        <color theme="1"/>
        <name val="Inter"/>
        <scheme val="none"/>
      </font>
      <alignment horizontal="center" vertical="bottom" textRotation="0" wrapText="0" indent="0" justifyLastLine="0" shrinkToFit="0" readingOrder="0"/>
    </dxf>
    <dxf>
      <font>
        <name val="Inter"/>
      </font>
    </dxf>
    <dxf>
      <font>
        <name val="Inter"/>
      </font>
    </dxf>
    <dxf>
      <font>
        <name val="Inter"/>
      </font>
    </dxf>
    <dxf>
      <font>
        <name val="Inter"/>
      </font>
    </dxf>
    <dxf>
      <font>
        <name val="Inter"/>
      </font>
    </dxf>
    <dxf>
      <font>
        <name val="Inter"/>
      </font>
    </dxf>
    <dxf>
      <alignment horizontal="center"/>
    </dxf>
    <dxf>
      <font>
        <name val="Manrope"/>
        <scheme val="none"/>
      </font>
    </dxf>
    <dxf>
      <font>
        <name val="Manrope"/>
        <scheme val="none"/>
      </font>
    </dxf>
    <dxf>
      <fill>
        <patternFill>
          <bgColor theme="9"/>
        </patternFill>
      </fill>
    </dxf>
    <dxf>
      <fill>
        <patternFill>
          <bgColor rgb="FFFFFF66"/>
        </patternFill>
      </fill>
    </dxf>
    <dxf>
      <fill>
        <patternFill>
          <bgColor rgb="FFFF474C"/>
        </patternFill>
      </fill>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dxf>
    <dxf>
      <font>
        <b val="0"/>
        <i val="0"/>
        <strike val="0"/>
        <condense val="0"/>
        <extend val="0"/>
        <outline val="0"/>
        <shadow val="0"/>
        <u val="none"/>
        <vertAlign val="baseline"/>
        <sz val="11"/>
        <color theme="1"/>
        <name val="Manrope"/>
        <scheme val="none"/>
      </font>
      <alignment horizontal="center" vertical="bottom" textRotation="0" wrapText="0" indent="0" justifyLastLine="0" shrinkToFit="0" readingOrder="0"/>
    </dxf>
  </dxfs>
  <tableStyles count="4" defaultTableStyle="TableStyleMedium2" defaultPivotStyle="PivotStyleLight16">
    <tableStyle name="Slicer Style 1" pivot="0" table="0" count="1" xr9:uid="{06ED15A6-DC59-47DE-B608-25D4BE03D533}"/>
    <tableStyle name="Slicer Style 2" pivot="0" table="0" count="1" xr9:uid="{3CF991EE-A28F-4849-8F26-CA3D7A45CD22}"/>
    <tableStyle name="Slicer Style 3" pivot="0" table="0" count="1" xr9:uid="{779FF288-5B4A-446D-9284-0C7A9C501F38}"/>
    <tableStyle name="Slicer Style 4" pivot="0" table="0" count="1" xr9:uid="{1B961EE8-5AB0-4750-A248-752DD5F1134D}"/>
  </tableStyles>
  <colors>
    <mruColors>
      <color rgb="FF99CCFF"/>
      <color rgb="FF2F80ED"/>
      <color rgb="FFF5F6FA"/>
      <color rgb="FF1C3F66"/>
      <color rgb="FF333333"/>
      <color rgb="FFFF474C"/>
      <color rgb="FFE53B19"/>
      <color rgb="FFFF3300"/>
      <color rgb="FFFFFF66"/>
    </mruColors>
  </colors>
  <extLst>
    <ext xmlns:x14="http://schemas.microsoft.com/office/spreadsheetml/2009/9/main" uri="{46F421CA-312F-682f-3DD2-61675219B42D}">
      <x14:dxfs count="4">
        <dxf>
          <font>
            <strike val="0"/>
          </font>
          <fill>
            <patternFill>
              <bgColor theme="8" tint="0.79998168889431442"/>
            </patternFill>
          </fill>
        </dxf>
        <dxf>
          <font>
            <strike val="0"/>
          </font>
          <fill>
            <patternFill>
              <bgColor theme="8" tint="0.79998168889431442"/>
            </patternFill>
          </fill>
        </dxf>
        <dxf>
          <fill>
            <patternFill>
              <bgColor theme="4" tint="0.59996337778862885"/>
            </patternFill>
          </fill>
        </dxf>
        <dxf>
          <font>
            <strike val="0"/>
            <color theme="0"/>
          </font>
          <fill>
            <patternFill>
              <bgColor theme="4" tint="-0.24994659260841701"/>
            </patternFill>
          </fill>
        </dxf>
      </x14:dxfs>
    </ext>
    <ext xmlns:x14="http://schemas.microsoft.com/office/spreadsheetml/2009/9/main" uri="{EB79DEF2-80B8-43e5-95BD-54CBDDF9020C}">
      <x14:slicerStyles defaultSlicerStyle="Slicer Style 4">
        <x14:slicerStyle name="Slicer Style 1">
          <x14:slicerStyleElements>
            <x14:slicerStyleElement type="hoveredSelectedItemWithData" dxfId="3"/>
          </x14:slicerStyleElements>
        </x14:slicerStyle>
        <x14:slicerStyle name="Slicer Style 2">
          <x14:slicerStyleElements>
            <x14:slicerStyleElement type="hoveredSelectedItemWithData" dxfId="2"/>
          </x14:slicerStyleElements>
        </x14:slicerStyle>
        <x14:slicerStyle name="Slicer Style 3">
          <x14:slicerStyleElements>
            <x14:slicerStyleElement type="hoveredUnselectedItemWithData" dxfId="1"/>
          </x14:slicerStyleElements>
        </x14:slicerStyle>
        <x14:slicerStyle name="Slicer Style 4">
          <x14:slicerStyleElements>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eetMetadata" Target="metadata.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 Marketing and Brand Awareness Survey.xlsm]Analysis Layer!PivotTable2</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 Layer'!$I$19</c:f>
              <c:strCache>
                <c:ptCount val="1"/>
                <c:pt idx="0">
                  <c:v>Total</c:v>
                </c:pt>
              </c:strCache>
            </c:strRef>
          </c:tx>
          <c:spPr>
            <a:solidFill>
              <a:schemeClr val="accent1"/>
            </a:solidFill>
            <a:ln>
              <a:noFill/>
            </a:ln>
            <a:effectLst/>
          </c:spPr>
          <c:invertIfNegative val="0"/>
          <c:cat>
            <c:strRef>
              <c:f>'Analysis Layer'!$H$20:$H$23</c:f>
              <c:strCache>
                <c:ptCount val="3"/>
                <c:pt idx="0">
                  <c:v>15 - 17</c:v>
                </c:pt>
                <c:pt idx="1">
                  <c:v>18 - 20</c:v>
                </c:pt>
                <c:pt idx="2">
                  <c:v>21 - 23</c:v>
                </c:pt>
              </c:strCache>
            </c:strRef>
          </c:cat>
          <c:val>
            <c:numRef>
              <c:f>'Analysis Layer'!$I$20:$I$23</c:f>
              <c:numCache>
                <c:formatCode>0.0</c:formatCode>
                <c:ptCount val="3"/>
                <c:pt idx="0">
                  <c:v>4.5</c:v>
                </c:pt>
                <c:pt idx="1">
                  <c:v>3.6111111111111112</c:v>
                </c:pt>
                <c:pt idx="2">
                  <c:v>3.3</c:v>
                </c:pt>
              </c:numCache>
            </c:numRef>
          </c:val>
          <c:extLst>
            <c:ext xmlns:c16="http://schemas.microsoft.com/office/drawing/2014/chart" uri="{C3380CC4-5D6E-409C-BE32-E72D297353CC}">
              <c16:uniqueId val="{00000000-652C-42BC-B8E2-E5A6EFEFBC94}"/>
            </c:ext>
          </c:extLst>
        </c:ser>
        <c:dLbls>
          <c:showLegendKey val="0"/>
          <c:showVal val="0"/>
          <c:showCatName val="0"/>
          <c:showSerName val="0"/>
          <c:showPercent val="0"/>
          <c:showBubbleSize val="0"/>
        </c:dLbls>
        <c:gapWidth val="150"/>
        <c:overlap val="100"/>
        <c:axId val="1778634847"/>
        <c:axId val="1778635327"/>
      </c:barChart>
      <c:catAx>
        <c:axId val="1778634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8635327"/>
        <c:crosses val="autoZero"/>
        <c:auto val="1"/>
        <c:lblAlgn val="ctr"/>
        <c:lblOffset val="100"/>
        <c:noMultiLvlLbl val="0"/>
      </c:catAx>
      <c:valAx>
        <c:axId val="177863532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86348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'Analysis Layer'!$F$14</c:f>
              <c:strCache>
                <c:ptCount val="1"/>
                <c:pt idx="0">
                  <c:v>Average Rating per factor</c:v>
                </c:pt>
              </c:strCache>
            </c:strRef>
          </c:tx>
          <c:spPr>
            <a:ln w="28575" cap="rnd">
              <a:solidFill>
                <a:schemeClr val="accent1"/>
              </a:solidFill>
              <a:round/>
            </a:ln>
            <a:effectLst/>
          </c:spPr>
          <c:marker>
            <c:symbol val="none"/>
          </c:marker>
          <c:cat>
            <c:strRef>
              <c:f>'Analysis Layer'!$E$15:$E$19</c:f>
              <c:strCache>
                <c:ptCount val="5"/>
                <c:pt idx="0">
                  <c:v>Product quality</c:v>
                </c:pt>
                <c:pt idx="1">
                  <c:v>Price and discounts</c:v>
                </c:pt>
                <c:pt idx="2">
                  <c:v>Influencer endorsements</c:v>
                </c:pt>
                <c:pt idx="3">
                  <c:v>Brand reputation</c:v>
                </c:pt>
                <c:pt idx="4">
                  <c:v>Online reviews</c:v>
                </c:pt>
              </c:strCache>
            </c:strRef>
          </c:cat>
          <c:val>
            <c:numRef>
              <c:f>'Analysis Layer'!$F$15:$F$19</c:f>
              <c:numCache>
                <c:formatCode>0.0</c:formatCode>
                <c:ptCount val="5"/>
                <c:pt idx="0">
                  <c:v>4.8</c:v>
                </c:pt>
                <c:pt idx="1">
                  <c:v>4.4333333333333336</c:v>
                </c:pt>
                <c:pt idx="2">
                  <c:v>3.4</c:v>
                </c:pt>
                <c:pt idx="3">
                  <c:v>4.5333333333333332</c:v>
                </c:pt>
                <c:pt idx="4">
                  <c:v>4.666666666666667</c:v>
                </c:pt>
              </c:numCache>
            </c:numRef>
          </c:val>
          <c:extLst>
            <c:ext xmlns:c16="http://schemas.microsoft.com/office/drawing/2014/chart" uri="{C3380CC4-5D6E-409C-BE32-E72D297353CC}">
              <c16:uniqueId val="{00000000-04EB-4DD3-954F-E2DB87BC88BB}"/>
            </c:ext>
          </c:extLst>
        </c:ser>
        <c:dLbls>
          <c:showLegendKey val="0"/>
          <c:showVal val="0"/>
          <c:showCatName val="0"/>
          <c:showSerName val="0"/>
          <c:showPercent val="0"/>
          <c:showBubbleSize val="0"/>
        </c:dLbls>
        <c:axId val="1778659807"/>
        <c:axId val="1778646367"/>
      </c:radarChart>
      <c:catAx>
        <c:axId val="1778659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8646367"/>
        <c:crosses val="autoZero"/>
        <c:auto val="1"/>
        <c:lblAlgn val="ctr"/>
        <c:lblOffset val="100"/>
        <c:noMultiLvlLbl val="0"/>
      </c:catAx>
      <c:valAx>
        <c:axId val="177864636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8659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'Analysis Layer'!$G$38</c:f>
              <c:strCache>
                <c:ptCount val="1"/>
                <c:pt idx="0">
                  <c:v>Purchase Index</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'Analysis Layer'!$F$39:$F$68</c:f>
              <c:numCache>
                <c:formatCode>General</c:formatCode>
                <c:ptCount val="30"/>
                <c:pt idx="0">
                  <c:v>2</c:v>
                </c:pt>
                <c:pt idx="1">
                  <c:v>2</c:v>
                </c:pt>
                <c:pt idx="2">
                  <c:v>2</c:v>
                </c:pt>
                <c:pt idx="3">
                  <c:v>1</c:v>
                </c:pt>
                <c:pt idx="4">
                  <c:v>2</c:v>
                </c:pt>
                <c:pt idx="5">
                  <c:v>3</c:v>
                </c:pt>
                <c:pt idx="6">
                  <c:v>3</c:v>
                </c:pt>
                <c:pt idx="7">
                  <c:v>1</c:v>
                </c:pt>
                <c:pt idx="8">
                  <c:v>3</c:v>
                </c:pt>
                <c:pt idx="9">
                  <c:v>2</c:v>
                </c:pt>
                <c:pt idx="10">
                  <c:v>4</c:v>
                </c:pt>
                <c:pt idx="11">
                  <c:v>2</c:v>
                </c:pt>
                <c:pt idx="12">
                  <c:v>2</c:v>
                </c:pt>
                <c:pt idx="13">
                  <c:v>2</c:v>
                </c:pt>
                <c:pt idx="14">
                  <c:v>2</c:v>
                </c:pt>
                <c:pt idx="15">
                  <c:v>3</c:v>
                </c:pt>
                <c:pt idx="16">
                  <c:v>2</c:v>
                </c:pt>
                <c:pt idx="17">
                  <c:v>5</c:v>
                </c:pt>
                <c:pt idx="18">
                  <c:v>3</c:v>
                </c:pt>
                <c:pt idx="19">
                  <c:v>3</c:v>
                </c:pt>
                <c:pt idx="20">
                  <c:v>2</c:v>
                </c:pt>
                <c:pt idx="21">
                  <c:v>2</c:v>
                </c:pt>
                <c:pt idx="22">
                  <c:v>1</c:v>
                </c:pt>
                <c:pt idx="23">
                  <c:v>4</c:v>
                </c:pt>
                <c:pt idx="24">
                  <c:v>2</c:v>
                </c:pt>
                <c:pt idx="25">
                  <c:v>2</c:v>
                </c:pt>
                <c:pt idx="26">
                  <c:v>2</c:v>
                </c:pt>
                <c:pt idx="27">
                  <c:v>3</c:v>
                </c:pt>
                <c:pt idx="28">
                  <c:v>2</c:v>
                </c:pt>
                <c:pt idx="29">
                  <c:v>2</c:v>
                </c:pt>
              </c:numCache>
            </c:numRef>
          </c:xVal>
          <c:yVal>
            <c:numRef>
              <c:f>'Analysis Layer'!$G$39:$G$68</c:f>
              <c:numCache>
                <c:formatCode>General</c:formatCode>
                <c:ptCount val="30"/>
                <c:pt idx="0">
                  <c:v>3</c:v>
                </c:pt>
                <c:pt idx="1">
                  <c:v>2</c:v>
                </c:pt>
                <c:pt idx="2">
                  <c:v>2</c:v>
                </c:pt>
                <c:pt idx="3">
                  <c:v>3</c:v>
                </c:pt>
                <c:pt idx="4">
                  <c:v>2</c:v>
                </c:pt>
                <c:pt idx="5">
                  <c:v>3</c:v>
                </c:pt>
                <c:pt idx="6">
                  <c:v>3</c:v>
                </c:pt>
                <c:pt idx="7">
                  <c:v>1</c:v>
                </c:pt>
                <c:pt idx="8">
                  <c:v>3</c:v>
                </c:pt>
                <c:pt idx="9">
                  <c:v>2</c:v>
                </c:pt>
                <c:pt idx="10">
                  <c:v>4</c:v>
                </c:pt>
                <c:pt idx="11">
                  <c:v>5</c:v>
                </c:pt>
                <c:pt idx="12">
                  <c:v>3</c:v>
                </c:pt>
                <c:pt idx="13">
                  <c:v>2</c:v>
                </c:pt>
                <c:pt idx="14">
                  <c:v>1</c:v>
                </c:pt>
                <c:pt idx="15">
                  <c:v>3</c:v>
                </c:pt>
                <c:pt idx="16">
                  <c:v>2</c:v>
                </c:pt>
                <c:pt idx="17">
                  <c:v>3</c:v>
                </c:pt>
                <c:pt idx="18">
                  <c:v>3</c:v>
                </c:pt>
                <c:pt idx="19">
                  <c:v>2</c:v>
                </c:pt>
                <c:pt idx="20">
                  <c:v>3</c:v>
                </c:pt>
                <c:pt idx="21">
                  <c:v>2</c:v>
                </c:pt>
                <c:pt idx="22">
                  <c:v>2</c:v>
                </c:pt>
                <c:pt idx="23">
                  <c:v>2</c:v>
                </c:pt>
                <c:pt idx="24">
                  <c:v>2</c:v>
                </c:pt>
                <c:pt idx="25">
                  <c:v>3</c:v>
                </c:pt>
                <c:pt idx="26">
                  <c:v>2</c:v>
                </c:pt>
                <c:pt idx="27">
                  <c:v>3</c:v>
                </c:pt>
                <c:pt idx="28">
                  <c:v>4</c:v>
                </c:pt>
                <c:pt idx="29">
                  <c:v>3</c:v>
                </c:pt>
              </c:numCache>
            </c:numRef>
          </c:yVal>
          <c:smooth val="0"/>
          <c:extLst>
            <c:ext xmlns:c16="http://schemas.microsoft.com/office/drawing/2014/chart" uri="{C3380CC4-5D6E-409C-BE32-E72D297353CC}">
              <c16:uniqueId val="{00000000-C7AE-418B-B386-1723F9AA8B2C}"/>
            </c:ext>
          </c:extLst>
        </c:ser>
        <c:dLbls>
          <c:showLegendKey val="0"/>
          <c:showVal val="0"/>
          <c:showCatName val="0"/>
          <c:showSerName val="0"/>
          <c:showPercent val="0"/>
          <c:showBubbleSize val="0"/>
        </c:dLbls>
        <c:axId val="1778640607"/>
        <c:axId val="1778639647"/>
      </c:scatterChart>
      <c:valAx>
        <c:axId val="1778640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a:t>Engagement Index</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8639647"/>
        <c:crosses val="autoZero"/>
        <c:crossBetween val="midCat"/>
      </c:valAx>
      <c:valAx>
        <c:axId val="177863964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Purchase 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864060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'Analysis Layer'!$F$23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16-47AC-97A8-205D7FFFC1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16-47AC-97A8-205D7FFFC18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16-47AC-97A8-205D7FFFC182}"/>
              </c:ext>
            </c:extLst>
          </c:dPt>
          <c:cat>
            <c:strRef>
              <c:f>'Analysis Layer'!$E$24:$E$26</c:f>
              <c:strCache>
                <c:ptCount val="3"/>
                <c:pt idx="0">
                  <c:v>1-2 hours daily</c:v>
                </c:pt>
                <c:pt idx="1">
                  <c:v>3-5 hours daily</c:v>
                </c:pt>
                <c:pt idx="2">
                  <c:v>More than 5 hours daily</c:v>
                </c:pt>
              </c:strCache>
            </c:strRef>
          </c:cat>
          <c:val>
            <c:numRef>
              <c:f>'Analysis Layer'!$F$24:$F$26</c:f>
              <c:numCache>
                <c:formatCode>General</c:formatCode>
                <c:ptCount val="3"/>
                <c:pt idx="0">
                  <c:v>5</c:v>
                </c:pt>
                <c:pt idx="1">
                  <c:v>10</c:v>
                </c:pt>
                <c:pt idx="2">
                  <c:v>14</c:v>
                </c:pt>
              </c:numCache>
            </c:numRef>
          </c:val>
          <c:extLst>
            <c:ext xmlns:c16="http://schemas.microsoft.com/office/drawing/2014/chart" uri="{C3380CC4-5D6E-409C-BE32-E72D297353CC}">
              <c16:uniqueId val="{00000000-8195-44CE-916D-7B680124102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'Analysis Layer'!$F$31</c:f>
              <c:strCache>
                <c:ptCount val="1"/>
                <c:pt idx="0">
                  <c:v>Count</c:v>
                </c:pt>
              </c:strCache>
            </c:strRef>
          </c:tx>
          <c:spPr>
            <a:solidFill>
              <a:schemeClr val="accent1"/>
            </a:solidFill>
            <a:ln>
              <a:noFill/>
            </a:ln>
            <a:effectLst/>
          </c:spPr>
          <c:invertIfNegative val="0"/>
          <c:cat>
            <c:strRef>
              <c:f>'Analysis Layer'!$E$32:$E$35</c:f>
              <c:strCache>
                <c:ptCount val="4"/>
                <c:pt idx="0">
                  <c:v>Image-based ads</c:v>
                </c:pt>
                <c:pt idx="1">
                  <c:v>Video ads</c:v>
                </c:pt>
                <c:pt idx="2">
                  <c:v>Influencer content</c:v>
                </c:pt>
                <c:pt idx="3">
                  <c:v>Promotional posts (discounts, giveaways)</c:v>
                </c:pt>
              </c:strCache>
            </c:strRef>
          </c:cat>
          <c:val>
            <c:numRef>
              <c:f>'Analysis Layer'!$F$32:$F$35</c:f>
              <c:numCache>
                <c:formatCode>General</c:formatCode>
                <c:ptCount val="4"/>
                <c:pt idx="0">
                  <c:v>2</c:v>
                </c:pt>
                <c:pt idx="1">
                  <c:v>11</c:v>
                </c:pt>
                <c:pt idx="2">
                  <c:v>2</c:v>
                </c:pt>
                <c:pt idx="3">
                  <c:v>15</c:v>
                </c:pt>
              </c:numCache>
            </c:numRef>
          </c:val>
          <c:extLst>
            <c:ext xmlns:c16="http://schemas.microsoft.com/office/drawing/2014/chart" uri="{C3380CC4-5D6E-409C-BE32-E72D297353CC}">
              <c16:uniqueId val="{00000000-D753-4988-AF62-9F31E82F8BD3}"/>
            </c:ext>
          </c:extLst>
        </c:ser>
        <c:dLbls>
          <c:showLegendKey val="0"/>
          <c:showVal val="0"/>
          <c:showCatName val="0"/>
          <c:showSerName val="0"/>
          <c:showPercent val="0"/>
          <c:showBubbleSize val="0"/>
        </c:dLbls>
        <c:gapWidth val="182"/>
        <c:axId val="1460324512"/>
        <c:axId val="1460318272"/>
      </c:barChart>
      <c:catAx>
        <c:axId val="1460324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318272"/>
        <c:crosses val="autoZero"/>
        <c:auto val="1"/>
        <c:lblAlgn val="ctr"/>
        <c:lblOffset val="100"/>
        <c:noMultiLvlLbl val="0"/>
      </c:catAx>
      <c:valAx>
        <c:axId val="1460318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324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 Marketing and Brand Awareness Survey.xlsm]Analysis Layer!PivotTable8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Layer'!$N$5:$N$6</c:f>
              <c:strCache>
                <c:ptCount val="1"/>
                <c:pt idx="0">
                  <c:v>User</c:v>
                </c:pt>
              </c:strCache>
            </c:strRef>
          </c:tx>
          <c:spPr>
            <a:solidFill>
              <a:schemeClr val="accent1"/>
            </a:solidFill>
            <a:ln>
              <a:noFill/>
            </a:ln>
            <a:effectLst/>
          </c:spPr>
          <c:invertIfNegative val="0"/>
          <c:cat>
            <c:strRef>
              <c:f>'Analysis Layer'!$M$7:$M$12</c:f>
              <c:strCache>
                <c:ptCount val="5"/>
                <c:pt idx="0">
                  <c:v>Facebook</c:v>
                </c:pt>
                <c:pt idx="1">
                  <c:v>Instagram</c:v>
                </c:pt>
                <c:pt idx="2">
                  <c:v>TikTok</c:v>
                </c:pt>
                <c:pt idx="3">
                  <c:v>X (Twitter)</c:v>
                </c:pt>
                <c:pt idx="4">
                  <c:v>YouTube</c:v>
                </c:pt>
              </c:strCache>
            </c:strRef>
          </c:cat>
          <c:val>
            <c:numRef>
              <c:f>'Analysis Layer'!$N$7:$N$12</c:f>
              <c:numCache>
                <c:formatCode>General</c:formatCode>
                <c:ptCount val="5"/>
                <c:pt idx="0">
                  <c:v>25</c:v>
                </c:pt>
                <c:pt idx="1">
                  <c:v>15</c:v>
                </c:pt>
                <c:pt idx="2">
                  <c:v>27</c:v>
                </c:pt>
                <c:pt idx="3">
                  <c:v>6</c:v>
                </c:pt>
                <c:pt idx="4">
                  <c:v>8</c:v>
                </c:pt>
              </c:numCache>
            </c:numRef>
          </c:val>
          <c:extLst>
            <c:ext xmlns:c16="http://schemas.microsoft.com/office/drawing/2014/chart" uri="{C3380CC4-5D6E-409C-BE32-E72D297353CC}">
              <c16:uniqueId val="{00000000-DB38-4EE3-A782-29AD83A1AE10}"/>
            </c:ext>
          </c:extLst>
        </c:ser>
        <c:dLbls>
          <c:showLegendKey val="0"/>
          <c:showVal val="0"/>
          <c:showCatName val="0"/>
          <c:showSerName val="0"/>
          <c:showPercent val="0"/>
          <c:showBubbleSize val="0"/>
        </c:dLbls>
        <c:gapWidth val="219"/>
        <c:overlap val="-27"/>
        <c:axId val="1525343376"/>
        <c:axId val="1520554592"/>
      </c:barChart>
      <c:catAx>
        <c:axId val="15253433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554592"/>
        <c:crosses val="autoZero"/>
        <c:auto val="1"/>
        <c:lblAlgn val="ctr"/>
        <c:lblOffset val="100"/>
        <c:noMultiLvlLbl val="0"/>
      </c:catAx>
      <c:valAx>
        <c:axId val="152055459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5343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'Analysis Layer'!$H$38</c:f>
              <c:strCache>
                <c:ptCount val="1"/>
                <c:pt idx="0">
                  <c:v>Trust in ads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'Analysis Layer'!$G$39:$G$68</c:f>
              <c:numCache>
                <c:formatCode>General</c:formatCode>
                <c:ptCount val="30"/>
                <c:pt idx="0">
                  <c:v>3</c:v>
                </c:pt>
                <c:pt idx="1">
                  <c:v>2</c:v>
                </c:pt>
                <c:pt idx="2">
                  <c:v>2</c:v>
                </c:pt>
                <c:pt idx="3">
                  <c:v>3</c:v>
                </c:pt>
                <c:pt idx="4">
                  <c:v>2</c:v>
                </c:pt>
                <c:pt idx="5">
                  <c:v>3</c:v>
                </c:pt>
                <c:pt idx="6">
                  <c:v>3</c:v>
                </c:pt>
                <c:pt idx="7">
                  <c:v>1</c:v>
                </c:pt>
                <c:pt idx="8">
                  <c:v>3</c:v>
                </c:pt>
                <c:pt idx="9">
                  <c:v>2</c:v>
                </c:pt>
                <c:pt idx="10">
                  <c:v>4</c:v>
                </c:pt>
                <c:pt idx="11">
                  <c:v>5</c:v>
                </c:pt>
                <c:pt idx="12">
                  <c:v>3</c:v>
                </c:pt>
                <c:pt idx="13">
                  <c:v>2</c:v>
                </c:pt>
                <c:pt idx="14">
                  <c:v>1</c:v>
                </c:pt>
                <c:pt idx="15">
                  <c:v>3</c:v>
                </c:pt>
                <c:pt idx="16">
                  <c:v>2</c:v>
                </c:pt>
                <c:pt idx="17">
                  <c:v>3</c:v>
                </c:pt>
                <c:pt idx="18">
                  <c:v>3</c:v>
                </c:pt>
                <c:pt idx="19">
                  <c:v>2</c:v>
                </c:pt>
                <c:pt idx="20">
                  <c:v>3</c:v>
                </c:pt>
                <c:pt idx="21">
                  <c:v>2</c:v>
                </c:pt>
                <c:pt idx="22">
                  <c:v>2</c:v>
                </c:pt>
                <c:pt idx="23">
                  <c:v>2</c:v>
                </c:pt>
                <c:pt idx="24">
                  <c:v>2</c:v>
                </c:pt>
                <c:pt idx="25">
                  <c:v>3</c:v>
                </c:pt>
                <c:pt idx="26">
                  <c:v>2</c:v>
                </c:pt>
                <c:pt idx="27">
                  <c:v>3</c:v>
                </c:pt>
                <c:pt idx="28">
                  <c:v>4</c:v>
                </c:pt>
                <c:pt idx="29">
                  <c:v>3</c:v>
                </c:pt>
              </c:numCache>
            </c:numRef>
          </c:xVal>
          <c:yVal>
            <c:numRef>
              <c:f>'Analysis Layer'!$H$39:$H$68</c:f>
              <c:numCache>
                <c:formatCode>General</c:formatCode>
                <c:ptCount val="30"/>
                <c:pt idx="0">
                  <c:v>3</c:v>
                </c:pt>
                <c:pt idx="1">
                  <c:v>4</c:v>
                </c:pt>
                <c:pt idx="2">
                  <c:v>3</c:v>
                </c:pt>
                <c:pt idx="3">
                  <c:v>3</c:v>
                </c:pt>
                <c:pt idx="4">
                  <c:v>3</c:v>
                </c:pt>
                <c:pt idx="5">
                  <c:v>4</c:v>
                </c:pt>
                <c:pt idx="6">
                  <c:v>3</c:v>
                </c:pt>
                <c:pt idx="7">
                  <c:v>3</c:v>
                </c:pt>
                <c:pt idx="8">
                  <c:v>3</c:v>
                </c:pt>
                <c:pt idx="9">
                  <c:v>4</c:v>
                </c:pt>
                <c:pt idx="10">
                  <c:v>3</c:v>
                </c:pt>
                <c:pt idx="11">
                  <c:v>4</c:v>
                </c:pt>
                <c:pt idx="12">
                  <c:v>3</c:v>
                </c:pt>
                <c:pt idx="13">
                  <c:v>4</c:v>
                </c:pt>
                <c:pt idx="14">
                  <c:v>3</c:v>
                </c:pt>
                <c:pt idx="15">
                  <c:v>3</c:v>
                </c:pt>
                <c:pt idx="16">
                  <c:v>3</c:v>
                </c:pt>
                <c:pt idx="17">
                  <c:v>4</c:v>
                </c:pt>
                <c:pt idx="18">
                  <c:v>4</c:v>
                </c:pt>
                <c:pt idx="19">
                  <c:v>4</c:v>
                </c:pt>
                <c:pt idx="20">
                  <c:v>3</c:v>
                </c:pt>
                <c:pt idx="21">
                  <c:v>3</c:v>
                </c:pt>
                <c:pt idx="22">
                  <c:v>4</c:v>
                </c:pt>
                <c:pt idx="23">
                  <c:v>4</c:v>
                </c:pt>
                <c:pt idx="24">
                  <c:v>4</c:v>
                </c:pt>
                <c:pt idx="25">
                  <c:v>4</c:v>
                </c:pt>
                <c:pt idx="26">
                  <c:v>5</c:v>
                </c:pt>
                <c:pt idx="27">
                  <c:v>4</c:v>
                </c:pt>
                <c:pt idx="28">
                  <c:v>3</c:v>
                </c:pt>
                <c:pt idx="29">
                  <c:v>5</c:v>
                </c:pt>
              </c:numCache>
            </c:numRef>
          </c:yVal>
          <c:smooth val="0"/>
          <c:extLst>
            <c:ext xmlns:c16="http://schemas.microsoft.com/office/drawing/2014/chart" uri="{C3380CC4-5D6E-409C-BE32-E72D297353CC}">
              <c16:uniqueId val="{00000000-205D-444F-8CD2-AC91A664D3D8}"/>
            </c:ext>
          </c:extLst>
        </c:ser>
        <c:dLbls>
          <c:showLegendKey val="0"/>
          <c:showVal val="0"/>
          <c:showCatName val="0"/>
          <c:showSerName val="0"/>
          <c:showPercent val="0"/>
          <c:showBubbleSize val="0"/>
        </c:dLbls>
        <c:axId val="1443279280"/>
        <c:axId val="1443279760"/>
      </c:scatterChart>
      <c:valAx>
        <c:axId val="14432792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a:t>Purchase Frequency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279760"/>
        <c:crosses val="autoZero"/>
        <c:crossBetween val="midCat"/>
      </c:valAx>
      <c:valAx>
        <c:axId val="144327976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a:t>Trust</a:t>
                </a:r>
                <a:r>
                  <a:rPr lang="en-PH" baseline="0"/>
                  <a:t> in Ads</a:t>
                </a:r>
                <a:endParaRPr lang="en-PH"/>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P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2792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[Digital Marketing and Brand Awareness Survey.xlsm]Analysis Layer!PivotTable8</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gradFill>
              <a:gsLst>
                <a:gs pos="0">
                  <a:schemeClr val="accent1">
                    <a:lumMod val="5000"/>
                    <a:lumOff val="95000"/>
                  </a:schemeClr>
                </a:gs>
                <a:gs pos="100000">
                  <a:srgbClr val="99CCFF"/>
                </a:gs>
                <a:gs pos="83000">
                  <a:schemeClr val="accent1">
                    <a:lumMod val="45000"/>
                    <a:lumOff val="55000"/>
                  </a:schemeClr>
                </a:gs>
                <a:gs pos="100000">
                  <a:schemeClr val="accent1">
                    <a:lumMod val="30000"/>
                    <a:lumOff val="70000"/>
                  </a:schemeClr>
                </a:gs>
              </a:gsLst>
              <a:lin ang="5400000" scaled="1"/>
            </a:grad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Layer'!$N$5:$N$6</c:f>
              <c:strCache>
                <c:ptCount val="1"/>
                <c:pt idx="0">
                  <c:v>User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gradFill>
                <a:gsLst>
                  <a:gs pos="0">
                    <a:schemeClr val="accent1">
                      <a:lumMod val="5000"/>
                      <a:lumOff val="95000"/>
                    </a:schemeClr>
                  </a:gs>
                  <a:gs pos="100000">
                    <a:srgbClr val="99CCFF"/>
                  </a:gs>
                  <a:gs pos="83000">
                    <a:schemeClr val="accent1">
                      <a:lumMod val="45000"/>
                      <a:lumOff val="55000"/>
                    </a:schemeClr>
                  </a:gs>
                  <a:gs pos="100000">
                    <a:schemeClr val="accent1">
                      <a:lumMod val="30000"/>
                      <a:lumOff val="70000"/>
                    </a:schemeClr>
                  </a:gs>
                </a:gsLst>
                <a:lin ang="5400000" scaled="1"/>
              </a:gradFill>
            </a:ln>
            <a:effectLst>
              <a:softEdge rad="0"/>
            </a:effectLst>
          </c:spPr>
          <c:invertIfNegative val="0"/>
          <c:cat>
            <c:strRef>
              <c:f>'Analysis Layer'!$M$7:$M$12</c:f>
              <c:strCache>
                <c:ptCount val="5"/>
                <c:pt idx="0">
                  <c:v>Facebook</c:v>
                </c:pt>
                <c:pt idx="1">
                  <c:v>Instagram</c:v>
                </c:pt>
                <c:pt idx="2">
                  <c:v>TikTok</c:v>
                </c:pt>
                <c:pt idx="3">
                  <c:v>X (Twitter)</c:v>
                </c:pt>
                <c:pt idx="4">
                  <c:v>YouTube</c:v>
                </c:pt>
              </c:strCache>
            </c:strRef>
          </c:cat>
          <c:val>
            <c:numRef>
              <c:f>'Analysis Layer'!$N$7:$N$12</c:f>
              <c:numCache>
                <c:formatCode>General</c:formatCode>
                <c:ptCount val="5"/>
                <c:pt idx="0">
                  <c:v>25</c:v>
                </c:pt>
                <c:pt idx="1">
                  <c:v>15</c:v>
                </c:pt>
                <c:pt idx="2">
                  <c:v>27</c:v>
                </c:pt>
                <c:pt idx="3">
                  <c:v>6</c:v>
                </c:pt>
                <c:pt idx="4">
                  <c:v>8</c:v>
                </c:pt>
              </c:numCache>
            </c:numRef>
          </c:val>
          <c:extLst>
            <c:ext xmlns:c16="http://schemas.microsoft.com/office/drawing/2014/chart" uri="{C3380CC4-5D6E-409C-BE32-E72D297353CC}">
              <c16:uniqueId val="{00000000-7F4E-4703-B355-1D3463DBB355}"/>
            </c:ext>
          </c:extLst>
        </c:ser>
        <c:dLbls>
          <c:showLegendKey val="0"/>
          <c:showVal val="0"/>
          <c:showCatName val="0"/>
          <c:showSerName val="0"/>
          <c:showPercent val="0"/>
          <c:showBubbleSize val="0"/>
        </c:dLbls>
        <c:gapWidth val="100"/>
        <c:overlap val="-24"/>
        <c:axId val="1525343376"/>
        <c:axId val="1520554592"/>
      </c:barChart>
      <c:catAx>
        <c:axId val="152534337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aleway" pitchFamily="2" charset="0"/>
                <a:ea typeface="+mn-ea"/>
                <a:cs typeface="+mn-cs"/>
              </a:defRPr>
            </a:pPr>
            <a:endParaRPr lang="en-US"/>
          </a:p>
        </c:txPr>
        <c:crossAx val="1520554592"/>
        <c:crosses val="autoZero"/>
        <c:auto val="1"/>
        <c:lblAlgn val="ctr"/>
        <c:lblOffset val="100"/>
        <c:noMultiLvlLbl val="0"/>
      </c:catAx>
      <c:valAx>
        <c:axId val="15205545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Lato" panose="020F0502020204030203" pitchFamily="34" charset="0"/>
                <a:ea typeface="Lato" panose="020F0502020204030203" pitchFamily="34" charset="0"/>
                <a:cs typeface="Lato" panose="020F0502020204030203" pitchFamily="34" charset="0"/>
              </a:defRPr>
            </a:pPr>
            <a:endParaRPr lang="en-US"/>
          </a:p>
        </c:txPr>
        <c:crossAx val="15253433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'Analysis Layer'!$G$38</c:f>
              <c:strCache>
                <c:ptCount val="1"/>
                <c:pt idx="0">
                  <c:v>Purchase Index</c:v>
                </c:pt>
              </c:strCache>
            </c:strRef>
          </c:tx>
          <c:spPr>
            <a:ln w="19050" cap="rnd">
              <a:noFill/>
              <a:round/>
            </a:ln>
            <a:effectLst/>
          </c:spPr>
          <c:marker>
            <c:symbol val="circle"/>
            <c:size val="5"/>
            <c:spPr>
              <a:solidFill>
                <a:srgbClr val="2F80ED"/>
              </a:solidFill>
              <a:ln w="9525">
                <a:solidFill>
                  <a:schemeClr val="accent1"/>
                </a:solidFill>
              </a:ln>
              <a:effectLst/>
            </c:spPr>
          </c:marker>
          <c:trendline>
            <c:spPr>
              <a:ln w="19050" cap="rnd">
                <a:solidFill>
                  <a:srgbClr val="1C3F66"/>
                </a:solidFill>
                <a:prstDash val="sysDot"/>
              </a:ln>
              <a:effectLst/>
            </c:spPr>
            <c:trendlineType val="linear"/>
            <c:dispRSqr val="0"/>
            <c:dispEq val="0"/>
          </c:trendline>
          <c:xVal>
            <c:numRef>
              <c:f>'Analysis Layer'!$F$39:$F$68</c:f>
              <c:numCache>
                <c:formatCode>General</c:formatCode>
                <c:ptCount val="30"/>
                <c:pt idx="0">
                  <c:v>2</c:v>
                </c:pt>
                <c:pt idx="1">
                  <c:v>2</c:v>
                </c:pt>
                <c:pt idx="2">
                  <c:v>2</c:v>
                </c:pt>
                <c:pt idx="3">
                  <c:v>1</c:v>
                </c:pt>
                <c:pt idx="4">
                  <c:v>2</c:v>
                </c:pt>
                <c:pt idx="5">
                  <c:v>3</c:v>
                </c:pt>
                <c:pt idx="6">
                  <c:v>3</c:v>
                </c:pt>
                <c:pt idx="7">
                  <c:v>1</c:v>
                </c:pt>
                <c:pt idx="8">
                  <c:v>3</c:v>
                </c:pt>
                <c:pt idx="9">
                  <c:v>2</c:v>
                </c:pt>
                <c:pt idx="10">
                  <c:v>4</c:v>
                </c:pt>
                <c:pt idx="11">
                  <c:v>2</c:v>
                </c:pt>
                <c:pt idx="12">
                  <c:v>2</c:v>
                </c:pt>
                <c:pt idx="13">
                  <c:v>2</c:v>
                </c:pt>
                <c:pt idx="14">
                  <c:v>2</c:v>
                </c:pt>
                <c:pt idx="15">
                  <c:v>3</c:v>
                </c:pt>
                <c:pt idx="16">
                  <c:v>2</c:v>
                </c:pt>
                <c:pt idx="17">
                  <c:v>5</c:v>
                </c:pt>
                <c:pt idx="18">
                  <c:v>3</c:v>
                </c:pt>
                <c:pt idx="19">
                  <c:v>3</c:v>
                </c:pt>
                <c:pt idx="20">
                  <c:v>2</c:v>
                </c:pt>
                <c:pt idx="21">
                  <c:v>2</c:v>
                </c:pt>
                <c:pt idx="22">
                  <c:v>1</c:v>
                </c:pt>
                <c:pt idx="23">
                  <c:v>4</c:v>
                </c:pt>
                <c:pt idx="24">
                  <c:v>2</c:v>
                </c:pt>
                <c:pt idx="25">
                  <c:v>2</c:v>
                </c:pt>
                <c:pt idx="26">
                  <c:v>2</c:v>
                </c:pt>
                <c:pt idx="27">
                  <c:v>3</c:v>
                </c:pt>
                <c:pt idx="28">
                  <c:v>2</c:v>
                </c:pt>
                <c:pt idx="29">
                  <c:v>2</c:v>
                </c:pt>
              </c:numCache>
            </c:numRef>
          </c:xVal>
          <c:yVal>
            <c:numRef>
              <c:f>'Analysis Layer'!$G$39:$G$68</c:f>
              <c:numCache>
                <c:formatCode>General</c:formatCode>
                <c:ptCount val="30"/>
                <c:pt idx="0">
                  <c:v>3</c:v>
                </c:pt>
                <c:pt idx="1">
                  <c:v>2</c:v>
                </c:pt>
                <c:pt idx="2">
                  <c:v>2</c:v>
                </c:pt>
                <c:pt idx="3">
                  <c:v>3</c:v>
                </c:pt>
                <c:pt idx="4">
                  <c:v>2</c:v>
                </c:pt>
                <c:pt idx="5">
                  <c:v>3</c:v>
                </c:pt>
                <c:pt idx="6">
                  <c:v>3</c:v>
                </c:pt>
                <c:pt idx="7">
                  <c:v>1</c:v>
                </c:pt>
                <c:pt idx="8">
                  <c:v>3</c:v>
                </c:pt>
                <c:pt idx="9">
                  <c:v>2</c:v>
                </c:pt>
                <c:pt idx="10">
                  <c:v>4</c:v>
                </c:pt>
                <c:pt idx="11">
                  <c:v>5</c:v>
                </c:pt>
                <c:pt idx="12">
                  <c:v>3</c:v>
                </c:pt>
                <c:pt idx="13">
                  <c:v>2</c:v>
                </c:pt>
                <c:pt idx="14">
                  <c:v>1</c:v>
                </c:pt>
                <c:pt idx="15">
                  <c:v>3</c:v>
                </c:pt>
                <c:pt idx="16">
                  <c:v>2</c:v>
                </c:pt>
                <c:pt idx="17">
                  <c:v>3</c:v>
                </c:pt>
                <c:pt idx="18">
                  <c:v>3</c:v>
                </c:pt>
                <c:pt idx="19">
                  <c:v>2</c:v>
                </c:pt>
                <c:pt idx="20">
                  <c:v>3</c:v>
                </c:pt>
                <c:pt idx="21">
                  <c:v>2</c:v>
                </c:pt>
                <c:pt idx="22">
                  <c:v>2</c:v>
                </c:pt>
                <c:pt idx="23">
                  <c:v>2</c:v>
                </c:pt>
                <c:pt idx="24">
                  <c:v>2</c:v>
                </c:pt>
                <c:pt idx="25">
                  <c:v>3</c:v>
                </c:pt>
                <c:pt idx="26">
                  <c:v>2</c:v>
                </c:pt>
                <c:pt idx="27">
                  <c:v>3</c:v>
                </c:pt>
                <c:pt idx="28">
                  <c:v>4</c:v>
                </c:pt>
                <c:pt idx="29">
                  <c:v>3</c:v>
                </c:pt>
              </c:numCache>
            </c:numRef>
          </c:yVal>
          <c:smooth val="0"/>
          <c:extLst>
            <c:ext xmlns:c16="http://schemas.microsoft.com/office/drawing/2014/chart" uri="{C3380CC4-5D6E-409C-BE32-E72D297353CC}">
              <c16:uniqueId val="{00000001-DE18-4B03-BDD4-4E394E92549C}"/>
            </c:ext>
          </c:extLst>
        </c:ser>
        <c:dLbls>
          <c:showLegendKey val="0"/>
          <c:showVal val="0"/>
          <c:showCatName val="0"/>
          <c:showSerName val="0"/>
          <c:showPercent val="0"/>
          <c:showBubbleSize val="0"/>
        </c:dLbls>
        <c:axId val="1778640607"/>
        <c:axId val="1778639647"/>
      </c:scatterChart>
      <c:valAx>
        <c:axId val="1778640607"/>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PH">
                    <a:solidFill>
                      <a:sysClr val="windowText" lastClr="000000"/>
                    </a:solidFill>
                    <a:latin typeface="Raleway" pitchFamily="2" charset="0"/>
                  </a:rPr>
                  <a:t>Engagement Frequency</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778639647"/>
        <c:crosses val="autoZero"/>
        <c:crossBetween val="midCat"/>
      </c:valAx>
      <c:valAx>
        <c:axId val="1778639647"/>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PH" sz="1000" b="0" i="0" u="none" strike="noStrike" kern="1200" baseline="0">
                    <a:solidFill>
                      <a:sysClr val="windowText" lastClr="000000"/>
                    </a:solidFill>
                    <a:latin typeface="Raleway" pitchFamily="2" charset="0"/>
                  </a:rPr>
                  <a:t>Purchase 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77864060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doughnutChart>
        <c:varyColors val="1"/>
        <c:ser>
          <c:idx val="0"/>
          <c:order val="0"/>
          <c:tx>
            <c:strRef>
              <c:f>'Analysis Layer'!$F$23</c:f>
              <c:strCache>
                <c:ptCount val="1"/>
                <c:pt idx="0">
                  <c:v>Count</c:v>
                </c:pt>
              </c:strCache>
            </c:strRef>
          </c:tx>
          <c:dPt>
            <c:idx val="0"/>
            <c:bubble3D val="0"/>
            <c:spPr>
              <a:solidFill>
                <a:schemeClr val="accent5">
                  <a:tint val="65000"/>
                </a:schemeClr>
              </a:solidFill>
              <a:ln w="19050">
                <a:solidFill>
                  <a:schemeClr val="lt1"/>
                </a:solidFill>
              </a:ln>
              <a:effectLst/>
            </c:spPr>
            <c:extLst>
              <c:ext xmlns:c16="http://schemas.microsoft.com/office/drawing/2014/chart" uri="{C3380CC4-5D6E-409C-BE32-E72D297353CC}">
                <c16:uniqueId val="{00000001-77F8-4A0F-B802-B19D4F785763}"/>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77F8-4A0F-B802-B19D4F785763}"/>
              </c:ext>
            </c:extLst>
          </c:dPt>
          <c:dPt>
            <c:idx val="2"/>
            <c:bubble3D val="0"/>
            <c:spPr>
              <a:solidFill>
                <a:schemeClr val="accent5">
                  <a:shade val="65000"/>
                </a:schemeClr>
              </a:solidFill>
              <a:ln w="19050">
                <a:solidFill>
                  <a:schemeClr val="lt1"/>
                </a:solidFill>
              </a:ln>
              <a:effectLst/>
            </c:spPr>
            <c:extLst>
              <c:ext xmlns:c16="http://schemas.microsoft.com/office/drawing/2014/chart" uri="{C3380CC4-5D6E-409C-BE32-E72D297353CC}">
                <c16:uniqueId val="{00000005-77F8-4A0F-B802-B19D4F785763}"/>
              </c:ext>
            </c:extLst>
          </c:dPt>
          <c:cat>
            <c:strRef>
              <c:f>'Analysis Layer'!$E$24:$E$26</c:f>
              <c:strCache>
                <c:ptCount val="3"/>
                <c:pt idx="0">
                  <c:v>1-2 hours daily</c:v>
                </c:pt>
                <c:pt idx="1">
                  <c:v>3-5 hours daily</c:v>
                </c:pt>
                <c:pt idx="2">
                  <c:v>More than 5 hours daily</c:v>
                </c:pt>
              </c:strCache>
            </c:strRef>
          </c:cat>
          <c:val>
            <c:numRef>
              <c:f>'Analysis Layer'!$F$24:$F$26</c:f>
              <c:numCache>
                <c:formatCode>General</c:formatCode>
                <c:ptCount val="3"/>
                <c:pt idx="0">
                  <c:v>5</c:v>
                </c:pt>
                <c:pt idx="1">
                  <c:v>10</c:v>
                </c:pt>
                <c:pt idx="2">
                  <c:v>14</c:v>
                </c:pt>
              </c:numCache>
            </c:numRef>
          </c:val>
          <c:extLst>
            <c:ext xmlns:c16="http://schemas.microsoft.com/office/drawing/2014/chart" uri="{C3380CC4-5D6E-409C-BE32-E72D297353CC}">
              <c16:uniqueId val="{00000006-77F8-4A0F-B802-B19D4F78576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
          <c:y val="0.82412524878639459"/>
          <c:w val="1"/>
          <c:h val="0.17587475121360527"/>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'Analysis Layer'!$F$14</c:f>
              <c:strCache>
                <c:ptCount val="1"/>
                <c:pt idx="0">
                  <c:v>Average Rating per factor</c:v>
                </c:pt>
              </c:strCache>
            </c:strRef>
          </c:tx>
          <c:spPr>
            <a:ln w="28575" cap="rnd">
              <a:solidFill>
                <a:schemeClr val="accent1"/>
              </a:solidFill>
              <a:round/>
            </a:ln>
            <a:effectLst/>
          </c:spPr>
          <c:marker>
            <c:symbol val="none"/>
          </c:marker>
          <c:cat>
            <c:strRef>
              <c:f>'Analysis Layer'!$E$15:$E$19</c:f>
              <c:strCache>
                <c:ptCount val="5"/>
                <c:pt idx="0">
                  <c:v>Product quality</c:v>
                </c:pt>
                <c:pt idx="1">
                  <c:v>Price and discounts</c:v>
                </c:pt>
                <c:pt idx="2">
                  <c:v>Influencer endorsements</c:v>
                </c:pt>
                <c:pt idx="3">
                  <c:v>Brand reputation</c:v>
                </c:pt>
                <c:pt idx="4">
                  <c:v>Online reviews</c:v>
                </c:pt>
              </c:strCache>
            </c:strRef>
          </c:cat>
          <c:val>
            <c:numRef>
              <c:f>'Analysis Layer'!$F$15:$F$19</c:f>
              <c:numCache>
                <c:formatCode>0.0</c:formatCode>
                <c:ptCount val="5"/>
                <c:pt idx="0">
                  <c:v>4.8</c:v>
                </c:pt>
                <c:pt idx="1">
                  <c:v>4.4333333333333336</c:v>
                </c:pt>
                <c:pt idx="2">
                  <c:v>3.4</c:v>
                </c:pt>
                <c:pt idx="3">
                  <c:v>4.5333333333333332</c:v>
                </c:pt>
                <c:pt idx="4">
                  <c:v>4.666666666666667</c:v>
                </c:pt>
              </c:numCache>
            </c:numRef>
          </c:val>
          <c:extLst>
            <c:ext xmlns:c16="http://schemas.microsoft.com/office/drawing/2014/chart" uri="{C3380CC4-5D6E-409C-BE32-E72D297353CC}">
              <c16:uniqueId val="{00000000-92A1-4891-8D42-E8E934C3A8B1}"/>
            </c:ext>
          </c:extLst>
        </c:ser>
        <c:dLbls>
          <c:showLegendKey val="0"/>
          <c:showVal val="0"/>
          <c:showCatName val="0"/>
          <c:showSerName val="0"/>
          <c:showPercent val="0"/>
          <c:showBubbleSize val="0"/>
        </c:dLbls>
        <c:axId val="1778659807"/>
        <c:axId val="1778646367"/>
      </c:radarChart>
      <c:catAx>
        <c:axId val="1778659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33333"/>
                </a:solidFill>
                <a:latin typeface="+mn-lt"/>
                <a:ea typeface="+mn-ea"/>
                <a:cs typeface="+mn-cs"/>
              </a:defRPr>
            </a:pPr>
            <a:endParaRPr lang="en-US"/>
          </a:p>
        </c:txPr>
        <c:crossAx val="1778646367"/>
        <c:crosses val="autoZero"/>
        <c:auto val="1"/>
        <c:lblAlgn val="ctr"/>
        <c:lblOffset val="100"/>
        <c:noMultiLvlLbl val="0"/>
      </c:catAx>
      <c:valAx>
        <c:axId val="1778646367"/>
        <c:scaling>
          <c:orientation val="minMax"/>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1778659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[Digital Marketing and Brand Awareness Survey.xlsm]Analysis Layer!PivotTable2</c:name>
    <c:fmtId val="2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 Layer'!$I$19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'Analysis Layer'!$H$20:$H$23</c:f>
              <c:strCache>
                <c:ptCount val="3"/>
                <c:pt idx="0">
                  <c:v>15 - 17</c:v>
                </c:pt>
                <c:pt idx="1">
                  <c:v>18 - 20</c:v>
                </c:pt>
                <c:pt idx="2">
                  <c:v>21 - 23</c:v>
                </c:pt>
              </c:strCache>
            </c:strRef>
          </c:cat>
          <c:val>
            <c:numRef>
              <c:f>'Analysis Layer'!$I$20:$I$23</c:f>
              <c:numCache>
                <c:formatCode>0.0</c:formatCode>
                <c:ptCount val="3"/>
                <c:pt idx="0">
                  <c:v>4.5</c:v>
                </c:pt>
                <c:pt idx="1">
                  <c:v>3.6111111111111112</c:v>
                </c:pt>
                <c:pt idx="2">
                  <c:v>3.3</c:v>
                </c:pt>
              </c:numCache>
            </c:numRef>
          </c:val>
          <c:extLst>
            <c:ext xmlns:c16="http://schemas.microsoft.com/office/drawing/2014/chart" uri="{C3380CC4-5D6E-409C-BE32-E72D297353CC}">
              <c16:uniqueId val="{00000000-04D0-497C-A28C-EB97BCE74ABF}"/>
            </c:ext>
          </c:extLst>
        </c:ser>
        <c:dLbls>
          <c:showLegendKey val="0"/>
          <c:showVal val="0"/>
          <c:showCatName val="0"/>
          <c:showSerName val="0"/>
          <c:showPercent val="0"/>
          <c:showBubbleSize val="0"/>
        </c:dLbls>
        <c:gapWidth val="150"/>
        <c:overlap val="100"/>
        <c:axId val="1778634847"/>
        <c:axId val="1778635327"/>
      </c:barChart>
      <c:catAx>
        <c:axId val="1778634847"/>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Lato" panose="020F0502020204030203" pitchFamily="34" charset="0"/>
                <a:ea typeface="Lato" panose="020F0502020204030203" pitchFamily="34" charset="0"/>
                <a:cs typeface="Lato" panose="020F0502020204030203" pitchFamily="34" charset="0"/>
              </a:defRPr>
            </a:pPr>
            <a:endParaRPr lang="en-US"/>
          </a:p>
        </c:txPr>
        <c:crossAx val="1778635327"/>
        <c:crosses val="autoZero"/>
        <c:auto val="1"/>
        <c:lblAlgn val="ctr"/>
        <c:lblOffset val="100"/>
        <c:noMultiLvlLbl val="0"/>
      </c:catAx>
      <c:valAx>
        <c:axId val="177863532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Lato" panose="020F0502020204030203" pitchFamily="34" charset="0"/>
                <a:ea typeface="Lato" panose="020F0502020204030203" pitchFamily="34" charset="0"/>
                <a:cs typeface="Lato" panose="020F0502020204030203" pitchFamily="34" charset="0"/>
              </a:defRPr>
            </a:pPr>
            <a:endParaRPr lang="en-US"/>
          </a:p>
        </c:txPr>
        <c:crossAx val="1778634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Layer'!$F$31</c:f>
              <c:strCache>
                <c:ptCount val="1"/>
                <c:pt idx="0">
                  <c:v>Count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'Analysis Layer'!$E$32:$E$35</c:f>
              <c:strCache>
                <c:ptCount val="4"/>
                <c:pt idx="0">
                  <c:v>Image-based ads</c:v>
                </c:pt>
                <c:pt idx="1">
                  <c:v>Video ads</c:v>
                </c:pt>
                <c:pt idx="2">
                  <c:v>Influencer content</c:v>
                </c:pt>
                <c:pt idx="3">
                  <c:v>Promotional posts (discounts, giveaways)</c:v>
                </c:pt>
              </c:strCache>
            </c:strRef>
          </c:cat>
          <c:val>
            <c:numRef>
              <c:f>'Analysis Layer'!$F$32:$F$35</c:f>
              <c:numCache>
                <c:formatCode>General</c:formatCode>
                <c:ptCount val="4"/>
                <c:pt idx="0">
                  <c:v>2</c:v>
                </c:pt>
                <c:pt idx="1">
                  <c:v>11</c:v>
                </c:pt>
                <c:pt idx="2">
                  <c:v>2</c:v>
                </c:pt>
                <c:pt idx="3">
                  <c:v>15</c:v>
                </c:pt>
              </c:numCache>
            </c:numRef>
          </c:val>
          <c:extLst>
            <c:ext xmlns:c16="http://schemas.microsoft.com/office/drawing/2014/chart" uri="{C3380CC4-5D6E-409C-BE32-E72D297353CC}">
              <c16:uniqueId val="{00000000-7A39-4655-8DB6-BD38F79AF0BA}"/>
            </c:ext>
          </c:extLst>
        </c:ser>
        <c:dLbls>
          <c:showLegendKey val="0"/>
          <c:showVal val="0"/>
          <c:showCatName val="0"/>
          <c:showSerName val="0"/>
          <c:showPercent val="0"/>
          <c:showBubbleSize val="0"/>
        </c:dLbls>
        <c:gapWidth val="100"/>
        <c:axId val="1460324512"/>
        <c:axId val="1460318272"/>
      </c:barChart>
      <c:catAx>
        <c:axId val="1460324512"/>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aleway" pitchFamily="2" charset="0"/>
                <a:ea typeface="+mn-ea"/>
                <a:cs typeface="+mn-cs"/>
              </a:defRPr>
            </a:pPr>
            <a:endParaRPr lang="en-US"/>
          </a:p>
        </c:txPr>
        <c:crossAx val="1460318272"/>
        <c:crosses val="autoZero"/>
        <c:auto val="1"/>
        <c:lblAlgn val="ctr"/>
        <c:lblOffset val="100"/>
        <c:noMultiLvlLbl val="0"/>
      </c:catAx>
      <c:valAx>
        <c:axId val="14603182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Lato" panose="020F0502020204030203" pitchFamily="34" charset="0"/>
                <a:ea typeface="Lato" panose="020F0502020204030203" pitchFamily="34" charset="0"/>
                <a:cs typeface="Lato" panose="020F0502020204030203" pitchFamily="34" charset="0"/>
              </a:defRPr>
            </a:pPr>
            <a:endParaRPr lang="en-US"/>
          </a:p>
        </c:txPr>
        <c:crossAx val="1460324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'Analysis Layer'!$H$38</c:f>
              <c:strCache>
                <c:ptCount val="1"/>
                <c:pt idx="0">
                  <c:v>Trust in ads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rgbClr val="1C3F66"/>
                </a:solidFill>
                <a:prstDash val="sysDot"/>
              </a:ln>
              <a:effectLst/>
            </c:spPr>
            <c:trendlineType val="linear"/>
            <c:dispRSqr val="0"/>
            <c:dispEq val="0"/>
          </c:trendline>
          <c:xVal>
            <c:numRef>
              <c:f>'Analysis Layer'!$G$39:$G$68</c:f>
              <c:numCache>
                <c:formatCode>General</c:formatCode>
                <c:ptCount val="30"/>
                <c:pt idx="0">
                  <c:v>3</c:v>
                </c:pt>
                <c:pt idx="1">
                  <c:v>2</c:v>
                </c:pt>
                <c:pt idx="2">
                  <c:v>2</c:v>
                </c:pt>
                <c:pt idx="3">
                  <c:v>3</c:v>
                </c:pt>
                <c:pt idx="4">
                  <c:v>2</c:v>
                </c:pt>
                <c:pt idx="5">
                  <c:v>3</c:v>
                </c:pt>
                <c:pt idx="6">
                  <c:v>3</c:v>
                </c:pt>
                <c:pt idx="7">
                  <c:v>1</c:v>
                </c:pt>
                <c:pt idx="8">
                  <c:v>3</c:v>
                </c:pt>
                <c:pt idx="9">
                  <c:v>2</c:v>
                </c:pt>
                <c:pt idx="10">
                  <c:v>4</c:v>
                </c:pt>
                <c:pt idx="11">
                  <c:v>5</c:v>
                </c:pt>
                <c:pt idx="12">
                  <c:v>3</c:v>
                </c:pt>
                <c:pt idx="13">
                  <c:v>2</c:v>
                </c:pt>
                <c:pt idx="14">
                  <c:v>1</c:v>
                </c:pt>
                <c:pt idx="15">
                  <c:v>3</c:v>
                </c:pt>
                <c:pt idx="16">
                  <c:v>2</c:v>
                </c:pt>
                <c:pt idx="17">
                  <c:v>3</c:v>
                </c:pt>
                <c:pt idx="18">
                  <c:v>3</c:v>
                </c:pt>
                <c:pt idx="19">
                  <c:v>2</c:v>
                </c:pt>
                <c:pt idx="20">
                  <c:v>3</c:v>
                </c:pt>
                <c:pt idx="21">
                  <c:v>2</c:v>
                </c:pt>
                <c:pt idx="22">
                  <c:v>2</c:v>
                </c:pt>
                <c:pt idx="23">
                  <c:v>2</c:v>
                </c:pt>
                <c:pt idx="24">
                  <c:v>2</c:v>
                </c:pt>
                <c:pt idx="25">
                  <c:v>3</c:v>
                </c:pt>
                <c:pt idx="26">
                  <c:v>2</c:v>
                </c:pt>
                <c:pt idx="27">
                  <c:v>3</c:v>
                </c:pt>
                <c:pt idx="28">
                  <c:v>4</c:v>
                </c:pt>
                <c:pt idx="29">
                  <c:v>3</c:v>
                </c:pt>
              </c:numCache>
            </c:numRef>
          </c:xVal>
          <c:yVal>
            <c:numRef>
              <c:f>'Analysis Layer'!$H$39:$H$68</c:f>
              <c:numCache>
                <c:formatCode>General</c:formatCode>
                <c:ptCount val="30"/>
                <c:pt idx="0">
                  <c:v>3</c:v>
                </c:pt>
                <c:pt idx="1">
                  <c:v>4</c:v>
                </c:pt>
                <c:pt idx="2">
                  <c:v>3</c:v>
                </c:pt>
                <c:pt idx="3">
                  <c:v>3</c:v>
                </c:pt>
                <c:pt idx="4">
                  <c:v>3</c:v>
                </c:pt>
                <c:pt idx="5">
                  <c:v>4</c:v>
                </c:pt>
                <c:pt idx="6">
                  <c:v>3</c:v>
                </c:pt>
                <c:pt idx="7">
                  <c:v>3</c:v>
                </c:pt>
                <c:pt idx="8">
                  <c:v>3</c:v>
                </c:pt>
                <c:pt idx="9">
                  <c:v>4</c:v>
                </c:pt>
                <c:pt idx="10">
                  <c:v>3</c:v>
                </c:pt>
                <c:pt idx="11">
                  <c:v>4</c:v>
                </c:pt>
                <c:pt idx="12">
                  <c:v>3</c:v>
                </c:pt>
                <c:pt idx="13">
                  <c:v>4</c:v>
                </c:pt>
                <c:pt idx="14">
                  <c:v>3</c:v>
                </c:pt>
                <c:pt idx="15">
                  <c:v>3</c:v>
                </c:pt>
                <c:pt idx="16">
                  <c:v>3</c:v>
                </c:pt>
                <c:pt idx="17">
                  <c:v>4</c:v>
                </c:pt>
                <c:pt idx="18">
                  <c:v>4</c:v>
                </c:pt>
                <c:pt idx="19">
                  <c:v>4</c:v>
                </c:pt>
                <c:pt idx="20">
                  <c:v>3</c:v>
                </c:pt>
                <c:pt idx="21">
                  <c:v>3</c:v>
                </c:pt>
                <c:pt idx="22">
                  <c:v>4</c:v>
                </c:pt>
                <c:pt idx="23">
                  <c:v>4</c:v>
                </c:pt>
                <c:pt idx="24">
                  <c:v>4</c:v>
                </c:pt>
                <c:pt idx="25">
                  <c:v>4</c:v>
                </c:pt>
                <c:pt idx="26">
                  <c:v>5</c:v>
                </c:pt>
                <c:pt idx="27">
                  <c:v>4</c:v>
                </c:pt>
                <c:pt idx="28">
                  <c:v>3</c:v>
                </c:pt>
                <c:pt idx="29">
                  <c:v>5</c:v>
                </c:pt>
              </c:numCache>
            </c:numRef>
          </c:yVal>
          <c:smooth val="0"/>
          <c:extLst>
            <c:ext xmlns:c16="http://schemas.microsoft.com/office/drawing/2014/chart" uri="{C3380CC4-5D6E-409C-BE32-E72D297353CC}">
              <c16:uniqueId val="{00000001-8467-4780-8628-EF518F785336}"/>
            </c:ext>
          </c:extLst>
        </c:ser>
        <c:dLbls>
          <c:showLegendKey val="0"/>
          <c:showVal val="0"/>
          <c:showCatName val="0"/>
          <c:showSerName val="0"/>
          <c:showPercent val="0"/>
          <c:showBubbleSize val="0"/>
        </c:dLbls>
        <c:axId val="1443279280"/>
        <c:axId val="1443279760"/>
      </c:scatterChart>
      <c:valAx>
        <c:axId val="14432792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a:solidFill>
                      <a:sysClr val="windowText" lastClr="000000"/>
                    </a:solidFill>
                    <a:latin typeface="Raleway" pitchFamily="2" charset="0"/>
                  </a:rPr>
                  <a:t>Purchase Frequency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43279760"/>
        <c:crosses val="autoZero"/>
        <c:crossBetween val="midCat"/>
      </c:valAx>
      <c:valAx>
        <c:axId val="144327976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a:solidFill>
                      <a:sysClr val="windowText" lastClr="000000"/>
                    </a:solidFill>
                    <a:latin typeface="Raleway" pitchFamily="2" charset="0"/>
                  </a:rPr>
                  <a:t>Trust</a:t>
                </a:r>
                <a:r>
                  <a:rPr lang="en-PH" baseline="0">
                    <a:solidFill>
                      <a:sysClr val="windowText" lastClr="000000"/>
                    </a:solidFill>
                    <a:latin typeface="Raleway" pitchFamily="2" charset="0"/>
                  </a:rPr>
                  <a:t> in Ads</a:t>
                </a:r>
                <a:endParaRPr lang="en-PH">
                  <a:solidFill>
                    <a:sysClr val="windowText" lastClr="000000"/>
                  </a:solidFill>
                  <a:latin typeface="Raleway" pitchFamily="2"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P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432792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1">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Reversed" id="25">
  <a:schemeClr val="accent5"/>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9.png"/><Relationship Id="rId3" Type="http://schemas.openxmlformats.org/officeDocument/2006/relationships/image" Target="../media/image2.svg"/><Relationship Id="rId7" Type="http://schemas.openxmlformats.org/officeDocument/2006/relationships/hyperlink" Target="#'Analysis Layer'!A1"/><Relationship Id="rId12" Type="http://schemas.openxmlformats.org/officeDocument/2006/relationships/image" Target="../media/image8.svg"/><Relationship Id="rId2" Type="http://schemas.openxmlformats.org/officeDocument/2006/relationships/image" Target="../media/image1.png"/><Relationship Id="rId1" Type="http://schemas.openxmlformats.org/officeDocument/2006/relationships/hyperlink" Target="#'Visualization Layer'!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Settings!A1"/><Relationship Id="rId4" Type="http://schemas.openxmlformats.org/officeDocument/2006/relationships/hyperlink" Target="#'Data Layer'!A1"/><Relationship Id="rId9" Type="http://schemas.openxmlformats.org/officeDocument/2006/relationships/image" Target="../media/image6.svg"/><Relationship Id="rId14" Type="http://schemas.openxmlformats.org/officeDocument/2006/relationships/image" Target="../media/image10.sv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3.png"/><Relationship Id="rId18" Type="http://schemas.openxmlformats.org/officeDocument/2006/relationships/hyperlink" Target="#Settings!A1"/><Relationship Id="rId3" Type="http://schemas.openxmlformats.org/officeDocument/2006/relationships/chart" Target="../charts/chart3.xml"/><Relationship Id="rId21" Type="http://schemas.openxmlformats.org/officeDocument/2006/relationships/image" Target="../media/image9.png"/><Relationship Id="rId7" Type="http://schemas.openxmlformats.org/officeDocument/2006/relationships/chart" Target="../charts/chart7.xml"/><Relationship Id="rId12" Type="http://schemas.openxmlformats.org/officeDocument/2006/relationships/hyperlink" Target="#'Data Layer'!A1"/><Relationship Id="rId17" Type="http://schemas.openxmlformats.org/officeDocument/2006/relationships/image" Target="../media/image6.sv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8.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svg"/><Relationship Id="rId5" Type="http://schemas.openxmlformats.org/officeDocument/2006/relationships/chart" Target="../charts/chart5.xml"/><Relationship Id="rId15" Type="http://schemas.openxmlformats.org/officeDocument/2006/relationships/hyperlink" Target="#'Analysis Layer'!A1"/><Relationship Id="rId10" Type="http://schemas.openxmlformats.org/officeDocument/2006/relationships/image" Target="../media/image1.png"/><Relationship Id="rId19" Type="http://schemas.openxmlformats.org/officeDocument/2006/relationships/image" Target="../media/image7.png"/><Relationship Id="rId4" Type="http://schemas.openxmlformats.org/officeDocument/2006/relationships/chart" Target="../charts/chart4.xml"/><Relationship Id="rId9" Type="http://schemas.openxmlformats.org/officeDocument/2006/relationships/hyperlink" Target="#'Visualization Layer'!A1"/><Relationship Id="rId14" Type="http://schemas.openxmlformats.org/officeDocument/2006/relationships/image" Target="../media/image4.svg"/><Relationship Id="rId22" Type="http://schemas.openxmlformats.org/officeDocument/2006/relationships/image" Target="../media/image12.svg"/></Relationships>
</file>

<file path=xl/drawings/_rels/drawing3.xml.rels><?xml version="1.0" encoding="UTF-8" standalone="yes"?>
<Relationships xmlns="http://schemas.openxmlformats.org/package/2006/relationships"><Relationship Id="rId13" Type="http://schemas.openxmlformats.org/officeDocument/2006/relationships/image" Target="../media/image9.png"/><Relationship Id="rId18" Type="http://schemas.openxmlformats.org/officeDocument/2006/relationships/image" Target="../media/image16.svg"/><Relationship Id="rId26" Type="http://schemas.openxmlformats.org/officeDocument/2006/relationships/chart" Target="../charts/chart8.xml"/><Relationship Id="rId3" Type="http://schemas.openxmlformats.org/officeDocument/2006/relationships/image" Target="../media/image2.svg"/><Relationship Id="rId21" Type="http://schemas.openxmlformats.org/officeDocument/2006/relationships/image" Target="../media/image19.png"/><Relationship Id="rId7" Type="http://schemas.openxmlformats.org/officeDocument/2006/relationships/hyperlink" Target="#'Analysis Layer'!A1"/><Relationship Id="rId12" Type="http://schemas.openxmlformats.org/officeDocument/2006/relationships/image" Target="../media/image4.svg"/><Relationship Id="rId17" Type="http://schemas.openxmlformats.org/officeDocument/2006/relationships/image" Target="../media/image15.png"/><Relationship Id="rId25" Type="http://schemas.openxmlformats.org/officeDocument/2006/relationships/image" Target="../media/image23.svg"/><Relationship Id="rId33" Type="http://schemas.openxmlformats.org/officeDocument/2006/relationships/image" Target="../media/image24.png"/><Relationship Id="rId2" Type="http://schemas.openxmlformats.org/officeDocument/2006/relationships/image" Target="../media/image1.png"/><Relationship Id="rId16" Type="http://schemas.openxmlformats.org/officeDocument/2006/relationships/image" Target="../media/image14.svg"/><Relationship Id="rId20" Type="http://schemas.openxmlformats.org/officeDocument/2006/relationships/image" Target="../media/image18.svg"/><Relationship Id="rId29" Type="http://schemas.openxmlformats.org/officeDocument/2006/relationships/chart" Target="../charts/chart11.xml"/><Relationship Id="rId1" Type="http://schemas.openxmlformats.org/officeDocument/2006/relationships/hyperlink" Target="#'Visualization Layer'!A1"/><Relationship Id="rId6" Type="http://schemas.openxmlformats.org/officeDocument/2006/relationships/image" Target="../media/image8.svg"/><Relationship Id="rId11" Type="http://schemas.openxmlformats.org/officeDocument/2006/relationships/image" Target="../media/image3.png"/><Relationship Id="rId24" Type="http://schemas.openxmlformats.org/officeDocument/2006/relationships/image" Target="../media/image22.png"/><Relationship Id="rId32" Type="http://schemas.openxmlformats.org/officeDocument/2006/relationships/chart" Target="../charts/chart14.xml"/><Relationship Id="rId5" Type="http://schemas.openxmlformats.org/officeDocument/2006/relationships/image" Target="../media/image7.png"/><Relationship Id="rId15" Type="http://schemas.openxmlformats.org/officeDocument/2006/relationships/image" Target="../media/image13.png"/><Relationship Id="rId23" Type="http://schemas.openxmlformats.org/officeDocument/2006/relationships/image" Target="../media/image21.svg"/><Relationship Id="rId28" Type="http://schemas.openxmlformats.org/officeDocument/2006/relationships/chart" Target="../charts/chart10.xml"/><Relationship Id="rId10" Type="http://schemas.openxmlformats.org/officeDocument/2006/relationships/hyperlink" Target="#'Data Layer'!A1"/><Relationship Id="rId19" Type="http://schemas.openxmlformats.org/officeDocument/2006/relationships/image" Target="../media/image17.png"/><Relationship Id="rId31" Type="http://schemas.openxmlformats.org/officeDocument/2006/relationships/chart" Target="../charts/chart13.xml"/><Relationship Id="rId4" Type="http://schemas.openxmlformats.org/officeDocument/2006/relationships/hyperlink" Target="#Settings!A1"/><Relationship Id="rId9" Type="http://schemas.openxmlformats.org/officeDocument/2006/relationships/image" Target="../media/image6.svg"/><Relationship Id="rId14" Type="http://schemas.openxmlformats.org/officeDocument/2006/relationships/image" Target="../media/image10.svg"/><Relationship Id="rId22" Type="http://schemas.openxmlformats.org/officeDocument/2006/relationships/image" Target="../media/image20.png"/><Relationship Id="rId27" Type="http://schemas.openxmlformats.org/officeDocument/2006/relationships/chart" Target="../charts/chart9.xml"/><Relationship Id="rId30" Type="http://schemas.openxmlformats.org/officeDocument/2006/relationships/chart" Target="../charts/chart12.xml"/><Relationship Id="rId8" Type="http://schemas.openxmlformats.org/officeDocument/2006/relationships/image" Target="../media/image5.png"/></Relationships>
</file>

<file path=xl/drawings/_rels/drawing4.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9.png"/><Relationship Id="rId3" Type="http://schemas.openxmlformats.org/officeDocument/2006/relationships/image" Target="../media/image2.svg"/><Relationship Id="rId7" Type="http://schemas.openxmlformats.org/officeDocument/2006/relationships/hyperlink" Target="#'Analysis Layer'!A1"/><Relationship Id="rId12" Type="http://schemas.openxmlformats.org/officeDocument/2006/relationships/image" Target="../media/image8.svg"/><Relationship Id="rId2" Type="http://schemas.openxmlformats.org/officeDocument/2006/relationships/image" Target="../media/image1.png"/><Relationship Id="rId1" Type="http://schemas.openxmlformats.org/officeDocument/2006/relationships/hyperlink" Target="#'Visualization Layer'!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Settings!A1"/><Relationship Id="rId4" Type="http://schemas.openxmlformats.org/officeDocument/2006/relationships/hyperlink" Target="#'Data Layer'!A1"/><Relationship Id="rId9" Type="http://schemas.openxmlformats.org/officeDocument/2006/relationships/image" Target="../media/image6.svg"/><Relationship Id="rId1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4</xdr:col>
      <xdr:colOff>0</xdr:colOff>
      <xdr:row>42</xdr:row>
      <xdr:rowOff>183265</xdr:rowOff>
    </xdr:from>
    <xdr:to>
      <xdr:col>11</xdr:col>
      <xdr:colOff>0</xdr:colOff>
      <xdr:row>47</xdr:row>
      <xdr:rowOff>0</xdr:rowOff>
    </xdr:to>
    <xdr:sp macro="" textlink="">
      <xdr:nvSpPr>
        <xdr:cNvPr id="5" name="Rectangle: Rounded Corners 4">
          <a:extLst>
            <a:ext uri="{FF2B5EF4-FFF2-40B4-BE49-F238E27FC236}">
              <a16:creationId xmlns:a16="http://schemas.microsoft.com/office/drawing/2014/main" id="{1F019DD2-1D34-40F4-A4E8-25CABA406DB9}"/>
            </a:ext>
          </a:extLst>
        </xdr:cNvPr>
        <xdr:cNvSpPr/>
      </xdr:nvSpPr>
      <xdr:spPr>
        <a:xfrm>
          <a:off x="4871013" y="8063695"/>
          <a:ext cx="8777468" cy="733064"/>
        </a:xfrm>
        <a:prstGeom prst="roundRect">
          <a:avLst/>
        </a:prstGeom>
        <a:solidFill>
          <a:srgbClr val="2F80E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6</xdr:col>
      <xdr:colOff>0</xdr:colOff>
      <xdr:row>43</xdr:row>
      <xdr:rowOff>174131</xdr:rowOff>
    </xdr:from>
    <xdr:to>
      <xdr:col>6</xdr:col>
      <xdr:colOff>375746</xdr:colOff>
      <xdr:row>46</xdr:row>
      <xdr:rowOff>0</xdr:rowOff>
    </xdr:to>
    <xdr:pic>
      <xdr:nvPicPr>
        <xdr:cNvPr id="16" name="Graphic 15" descr="Bar chart with solid fill">
          <a:hlinkClick xmlns:r="http://schemas.openxmlformats.org/officeDocument/2006/relationships" r:id="rId1"/>
          <a:extLst>
            <a:ext uri="{FF2B5EF4-FFF2-40B4-BE49-F238E27FC236}">
              <a16:creationId xmlns:a16="http://schemas.microsoft.com/office/drawing/2014/main" id="{8FE7A0F8-8E9B-4C52-99A5-9DD5C260952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192456" y="8237827"/>
          <a:ext cx="375746" cy="375667"/>
        </a:xfrm>
        <a:prstGeom prst="rect">
          <a:avLst/>
        </a:prstGeom>
      </xdr:spPr>
    </xdr:pic>
    <xdr:clientData/>
  </xdr:twoCellAnchor>
  <xdr:twoCellAnchor editAs="oneCell">
    <xdr:from>
      <xdr:col>7</xdr:col>
      <xdr:colOff>0</xdr:colOff>
      <xdr:row>43</xdr:row>
      <xdr:rowOff>143993</xdr:rowOff>
    </xdr:from>
    <xdr:to>
      <xdr:col>7</xdr:col>
      <xdr:colOff>345860</xdr:colOff>
      <xdr:row>46</xdr:row>
      <xdr:rowOff>0</xdr:rowOff>
    </xdr:to>
    <xdr:pic>
      <xdr:nvPicPr>
        <xdr:cNvPr id="19" name="Graphic 18" descr="Document with solid fill">
          <a:hlinkClick xmlns:r="http://schemas.openxmlformats.org/officeDocument/2006/relationships" r:id="rId4"/>
          <a:extLst>
            <a:ext uri="{FF2B5EF4-FFF2-40B4-BE49-F238E27FC236}">
              <a16:creationId xmlns:a16="http://schemas.microsoft.com/office/drawing/2014/main" id="{BF949D49-21ED-4D0C-833A-DF04C5A818D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378861" y="8207689"/>
          <a:ext cx="345860" cy="405805"/>
        </a:xfrm>
        <a:prstGeom prst="rect">
          <a:avLst/>
        </a:prstGeom>
      </xdr:spPr>
    </xdr:pic>
    <xdr:clientData/>
  </xdr:twoCellAnchor>
  <xdr:twoCellAnchor editAs="oneCell">
    <xdr:from>
      <xdr:col>8</xdr:col>
      <xdr:colOff>0</xdr:colOff>
      <xdr:row>43</xdr:row>
      <xdr:rowOff>142921</xdr:rowOff>
    </xdr:from>
    <xdr:to>
      <xdr:col>8</xdr:col>
      <xdr:colOff>338976</xdr:colOff>
      <xdr:row>46</xdr:row>
      <xdr:rowOff>0</xdr:rowOff>
    </xdr:to>
    <xdr:pic>
      <xdr:nvPicPr>
        <xdr:cNvPr id="20" name="Graphic 19" descr="Research with solid fill">
          <a:hlinkClick xmlns:r="http://schemas.openxmlformats.org/officeDocument/2006/relationships" r:id="rId7"/>
          <a:extLst>
            <a:ext uri="{FF2B5EF4-FFF2-40B4-BE49-F238E27FC236}">
              <a16:creationId xmlns:a16="http://schemas.microsoft.com/office/drawing/2014/main" id="{062058F5-8BD9-4003-945C-4EA08CD6EE7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8536329" y="8206617"/>
          <a:ext cx="338976" cy="406877"/>
        </a:xfrm>
        <a:prstGeom prst="rect">
          <a:avLst/>
        </a:prstGeom>
      </xdr:spPr>
    </xdr:pic>
    <xdr:clientData/>
  </xdr:twoCellAnchor>
  <xdr:twoCellAnchor editAs="oneCell">
    <xdr:from>
      <xdr:col>9</xdr:col>
      <xdr:colOff>0</xdr:colOff>
      <xdr:row>43</xdr:row>
      <xdr:rowOff>154330</xdr:rowOff>
    </xdr:from>
    <xdr:to>
      <xdr:col>9</xdr:col>
      <xdr:colOff>361634</xdr:colOff>
      <xdr:row>46</xdr:row>
      <xdr:rowOff>29482</xdr:rowOff>
    </xdr:to>
    <xdr:pic>
      <xdr:nvPicPr>
        <xdr:cNvPr id="22" name="Graphic 21" descr="Gears with solid fill">
          <a:hlinkClick xmlns:r="http://schemas.openxmlformats.org/officeDocument/2006/relationships" r:id="rId10"/>
          <a:extLst>
            <a:ext uri="{FF2B5EF4-FFF2-40B4-BE49-F238E27FC236}">
              <a16:creationId xmlns:a16="http://schemas.microsoft.com/office/drawing/2014/main" id="{293FDCB7-ECAE-4033-A9EB-CCA00ECC7F0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655215" y="8218026"/>
          <a:ext cx="361634" cy="424950"/>
        </a:xfrm>
        <a:prstGeom prst="rect">
          <a:avLst/>
        </a:prstGeom>
      </xdr:spPr>
    </xdr:pic>
    <xdr:clientData/>
  </xdr:twoCellAnchor>
  <xdr:twoCellAnchor editAs="oneCell">
    <xdr:from>
      <xdr:col>10</xdr:col>
      <xdr:colOff>554618</xdr:colOff>
      <xdr:row>44</xdr:row>
      <xdr:rowOff>0</xdr:rowOff>
    </xdr:from>
    <xdr:to>
      <xdr:col>10</xdr:col>
      <xdr:colOff>877747</xdr:colOff>
      <xdr:row>45</xdr:row>
      <xdr:rowOff>171989</xdr:rowOff>
    </xdr:to>
    <xdr:pic macro="[0]!ExitButton_Click">
      <xdr:nvPicPr>
        <xdr:cNvPr id="23" name="Graphic 22" descr="Back with solid fill">
          <a:extLst>
            <a:ext uri="{FF2B5EF4-FFF2-40B4-BE49-F238E27FC236}">
              <a16:creationId xmlns:a16="http://schemas.microsoft.com/office/drawing/2014/main" id="{E09F9939-C1CD-49C6-ADCC-0EF35A044F8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171023" y="8246962"/>
          <a:ext cx="323129" cy="3552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805883</xdr:colOff>
      <xdr:row>17</xdr:row>
      <xdr:rowOff>0</xdr:rowOff>
    </xdr:from>
    <xdr:to>
      <xdr:col>22</xdr:col>
      <xdr:colOff>0</xdr:colOff>
      <xdr:row>32</xdr:row>
      <xdr:rowOff>159689</xdr:rowOff>
    </xdr:to>
    <xdr:graphicFrame macro="">
      <xdr:nvGraphicFramePr>
        <xdr:cNvPr id="6" name="Chart 5">
          <a:extLst>
            <a:ext uri="{FF2B5EF4-FFF2-40B4-BE49-F238E27FC236}">
              <a16:creationId xmlns:a16="http://schemas.microsoft.com/office/drawing/2014/main" id="{8644375E-0A42-4E80-A19E-066841F9AB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439222</xdr:colOff>
      <xdr:row>16</xdr:row>
      <xdr:rowOff>175081</xdr:rowOff>
    </xdr:from>
    <xdr:to>
      <xdr:col>14</xdr:col>
      <xdr:colOff>0</xdr:colOff>
      <xdr:row>33</xdr:row>
      <xdr:rowOff>46653</xdr:rowOff>
    </xdr:to>
    <xdr:graphicFrame macro="">
      <xdr:nvGraphicFramePr>
        <xdr:cNvPr id="7" name="Chart 6">
          <a:extLst>
            <a:ext uri="{FF2B5EF4-FFF2-40B4-BE49-F238E27FC236}">
              <a16:creationId xmlns:a16="http://schemas.microsoft.com/office/drawing/2014/main" id="{31432CD0-FC66-5864-C950-DA0759E95A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439222</xdr:colOff>
      <xdr:row>52</xdr:row>
      <xdr:rowOff>77755</xdr:rowOff>
    </xdr:from>
    <xdr:to>
      <xdr:col>14</xdr:col>
      <xdr:colOff>0</xdr:colOff>
      <xdr:row>67</xdr:row>
      <xdr:rowOff>167041</xdr:rowOff>
    </xdr:to>
    <xdr:graphicFrame macro="">
      <xdr:nvGraphicFramePr>
        <xdr:cNvPr id="10" name="Chart 9">
          <a:extLst>
            <a:ext uri="{FF2B5EF4-FFF2-40B4-BE49-F238E27FC236}">
              <a16:creationId xmlns:a16="http://schemas.microsoft.com/office/drawing/2014/main" id="{D50522E8-ADE1-B895-CF4C-B76407A855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449290</xdr:colOff>
      <xdr:row>34</xdr:row>
      <xdr:rowOff>238983</xdr:rowOff>
    </xdr:from>
    <xdr:to>
      <xdr:col>13</xdr:col>
      <xdr:colOff>448152</xdr:colOff>
      <xdr:row>49</xdr:row>
      <xdr:rowOff>166255</xdr:rowOff>
    </xdr:to>
    <xdr:graphicFrame macro="">
      <xdr:nvGraphicFramePr>
        <xdr:cNvPr id="3" name="Chart 2">
          <a:extLst>
            <a:ext uri="{FF2B5EF4-FFF2-40B4-BE49-F238E27FC236}">
              <a16:creationId xmlns:a16="http://schemas.microsoft.com/office/drawing/2014/main" id="{4A7C9909-DA6C-D405-3AEA-AEE54D3726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775854</xdr:colOff>
      <xdr:row>34</xdr:row>
      <xdr:rowOff>254703</xdr:rowOff>
    </xdr:from>
    <xdr:to>
      <xdr:col>25</xdr:col>
      <xdr:colOff>159162</xdr:colOff>
      <xdr:row>49</xdr:row>
      <xdr:rowOff>138546</xdr:rowOff>
    </xdr:to>
    <xdr:graphicFrame macro="">
      <xdr:nvGraphicFramePr>
        <xdr:cNvPr id="5" name="Chart 4">
          <a:extLst>
            <a:ext uri="{FF2B5EF4-FFF2-40B4-BE49-F238E27FC236}">
              <a16:creationId xmlns:a16="http://schemas.microsoft.com/office/drawing/2014/main" id="{744F4BDD-34D5-6C45-4FC6-462C467A08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0</xdr:colOff>
      <xdr:row>2</xdr:row>
      <xdr:rowOff>96982</xdr:rowOff>
    </xdr:from>
    <xdr:to>
      <xdr:col>18</xdr:col>
      <xdr:colOff>415636</xdr:colOff>
      <xdr:row>7</xdr:row>
      <xdr:rowOff>124408</xdr:rowOff>
    </xdr:to>
    <mc:AlternateContent xmlns:mc="http://schemas.openxmlformats.org/markup-compatibility/2006" xmlns:a14="http://schemas.microsoft.com/office/drawing/2010/main">
      <mc:Choice Requires="a14">
        <xdr:graphicFrame macro="">
          <xdr:nvGraphicFramePr>
            <xdr:cNvPr id="16" name="Metric Type">
              <a:extLst>
                <a:ext uri="{FF2B5EF4-FFF2-40B4-BE49-F238E27FC236}">
                  <a16:creationId xmlns:a16="http://schemas.microsoft.com/office/drawing/2014/main" id="{023F77A5-B90A-2743-DFF0-54EFE71EB3BD}"/>
                </a:ext>
              </a:extLst>
            </xdr:cNvPr>
            <xdr:cNvGraphicFramePr/>
          </xdr:nvGraphicFramePr>
          <xdr:xfrm>
            <a:off x="0" y="0"/>
            <a:ext cx="0" cy="0"/>
          </xdr:xfrm>
          <a:graphic>
            <a:graphicData uri="http://schemas.microsoft.com/office/drawing/2010/slicer">
              <sle:slicer xmlns:sle="http://schemas.microsoft.com/office/drawing/2010/slicer" name="Metric Type"/>
            </a:graphicData>
          </a:graphic>
        </xdr:graphicFrame>
      </mc:Choice>
      <mc:Fallback xmlns="">
        <xdr:sp macro="" textlink="">
          <xdr:nvSpPr>
            <xdr:cNvPr id="0" name=""/>
            <xdr:cNvSpPr>
              <a:spLocks noTextEdit="1"/>
            </xdr:cNvSpPr>
          </xdr:nvSpPr>
          <xdr:spPr>
            <a:xfrm>
              <a:off x="20255345" y="766454"/>
              <a:ext cx="1585382" cy="660281"/>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29</xdr:col>
      <xdr:colOff>464127</xdr:colOff>
      <xdr:row>19</xdr:row>
      <xdr:rowOff>152401</xdr:rowOff>
    </xdr:from>
    <xdr:to>
      <xdr:col>37</xdr:col>
      <xdr:colOff>450272</xdr:colOff>
      <xdr:row>35</xdr:row>
      <xdr:rowOff>13856</xdr:rowOff>
    </xdr:to>
    <xdr:graphicFrame macro="">
      <xdr:nvGraphicFramePr>
        <xdr:cNvPr id="17" name="Chart 16">
          <a:extLst>
            <a:ext uri="{FF2B5EF4-FFF2-40B4-BE49-F238E27FC236}">
              <a16:creationId xmlns:a16="http://schemas.microsoft.com/office/drawing/2014/main" id="{F9A4184F-154D-3222-5098-E94885C5AC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771071</xdr:colOff>
      <xdr:row>52</xdr:row>
      <xdr:rowOff>30064</xdr:rowOff>
    </xdr:from>
    <xdr:to>
      <xdr:col>22</xdr:col>
      <xdr:colOff>0</xdr:colOff>
      <xdr:row>68</xdr:row>
      <xdr:rowOff>0</xdr:rowOff>
    </xdr:to>
    <xdr:graphicFrame macro="">
      <xdr:nvGraphicFramePr>
        <xdr:cNvPr id="20" name="Chart 19">
          <a:extLst>
            <a:ext uri="{FF2B5EF4-FFF2-40B4-BE49-F238E27FC236}">
              <a16:creationId xmlns:a16="http://schemas.microsoft.com/office/drawing/2014/main" id="{19CE46F9-88F4-9CB5-F72D-9379ADC04B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151653</xdr:colOff>
      <xdr:row>1</xdr:row>
      <xdr:rowOff>0</xdr:rowOff>
    </xdr:from>
    <xdr:to>
      <xdr:col>0</xdr:col>
      <xdr:colOff>1224642</xdr:colOff>
      <xdr:row>66</xdr:row>
      <xdr:rowOff>133811</xdr:rowOff>
    </xdr:to>
    <xdr:pic>
      <xdr:nvPicPr>
        <xdr:cNvPr id="12" name="Picture 11">
          <a:extLst>
            <a:ext uri="{FF2B5EF4-FFF2-40B4-BE49-F238E27FC236}">
              <a16:creationId xmlns:a16="http://schemas.microsoft.com/office/drawing/2014/main" id="{0CCCC768-CAE2-4140-8C6D-5ACF253F2369}"/>
            </a:ext>
          </a:extLst>
        </xdr:cNvPr>
        <xdr:cNvPicPr>
          <a:picLocks noChangeAspect="1"/>
        </xdr:cNvPicPr>
      </xdr:nvPicPr>
      <xdr:blipFill>
        <a:blip xmlns:r="http://schemas.openxmlformats.org/officeDocument/2006/relationships" r:embed="rId8"/>
        <a:stretch>
          <a:fillRect/>
        </a:stretch>
      </xdr:blipFill>
      <xdr:spPr>
        <a:xfrm>
          <a:off x="151653" y="180109"/>
          <a:ext cx="1072989" cy="12048720"/>
        </a:xfrm>
        <a:prstGeom prst="rect">
          <a:avLst/>
        </a:prstGeom>
      </xdr:spPr>
    </xdr:pic>
    <xdr:clientData/>
  </xdr:twoCellAnchor>
  <xdr:twoCellAnchor editAs="oneCell">
    <xdr:from>
      <xdr:col>0</xdr:col>
      <xdr:colOff>511441</xdr:colOff>
      <xdr:row>13</xdr:row>
      <xdr:rowOff>0</xdr:rowOff>
    </xdr:from>
    <xdr:to>
      <xdr:col>0</xdr:col>
      <xdr:colOff>886691</xdr:colOff>
      <xdr:row>15</xdr:row>
      <xdr:rowOff>23877</xdr:rowOff>
    </xdr:to>
    <xdr:pic>
      <xdr:nvPicPr>
        <xdr:cNvPr id="13" name="Graphic 12" descr="Bar chart with solid fill">
          <a:hlinkClick xmlns:r="http://schemas.openxmlformats.org/officeDocument/2006/relationships" r:id="rId9"/>
          <a:extLst>
            <a:ext uri="{FF2B5EF4-FFF2-40B4-BE49-F238E27FC236}">
              <a16:creationId xmlns:a16="http://schemas.microsoft.com/office/drawing/2014/main" id="{2C3E82EA-64BC-4356-8B6B-02A5AE6B411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11441" y="2382982"/>
          <a:ext cx="375250" cy="384095"/>
        </a:xfrm>
        <a:prstGeom prst="rect">
          <a:avLst/>
        </a:prstGeom>
      </xdr:spPr>
    </xdr:pic>
    <xdr:clientData/>
  </xdr:twoCellAnchor>
  <xdr:twoCellAnchor editAs="oneCell">
    <xdr:from>
      <xdr:col>0</xdr:col>
      <xdr:colOff>512618</xdr:colOff>
      <xdr:row>21</xdr:row>
      <xdr:rowOff>0</xdr:rowOff>
    </xdr:from>
    <xdr:to>
      <xdr:col>0</xdr:col>
      <xdr:colOff>857982</xdr:colOff>
      <xdr:row>23</xdr:row>
      <xdr:rowOff>56494</xdr:rowOff>
    </xdr:to>
    <xdr:pic>
      <xdr:nvPicPr>
        <xdr:cNvPr id="19" name="Graphic 18" descr="Document with solid fill">
          <a:hlinkClick xmlns:r="http://schemas.openxmlformats.org/officeDocument/2006/relationships" r:id="rId12"/>
          <a:extLst>
            <a:ext uri="{FF2B5EF4-FFF2-40B4-BE49-F238E27FC236}">
              <a16:creationId xmlns:a16="http://schemas.microsoft.com/office/drawing/2014/main" id="{F796C18A-26DE-456F-944E-8FD7E515C4E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12618" y="3823855"/>
          <a:ext cx="345364" cy="416712"/>
        </a:xfrm>
        <a:prstGeom prst="rect">
          <a:avLst/>
        </a:prstGeom>
      </xdr:spPr>
    </xdr:pic>
    <xdr:clientData/>
  </xdr:twoCellAnchor>
  <xdr:twoCellAnchor editAs="oneCell">
    <xdr:from>
      <xdr:col>0</xdr:col>
      <xdr:colOff>575920</xdr:colOff>
      <xdr:row>28</xdr:row>
      <xdr:rowOff>166254</xdr:rowOff>
    </xdr:from>
    <xdr:to>
      <xdr:col>0</xdr:col>
      <xdr:colOff>914400</xdr:colOff>
      <xdr:row>31</xdr:row>
      <xdr:rowOff>43711</xdr:rowOff>
    </xdr:to>
    <xdr:pic>
      <xdr:nvPicPr>
        <xdr:cNvPr id="22" name="Graphic 21" descr="Research with solid fill">
          <a:hlinkClick xmlns:r="http://schemas.openxmlformats.org/officeDocument/2006/relationships" r:id="rId15"/>
          <a:extLst>
            <a:ext uri="{FF2B5EF4-FFF2-40B4-BE49-F238E27FC236}">
              <a16:creationId xmlns:a16="http://schemas.microsoft.com/office/drawing/2014/main" id="{45A68A5E-B71B-451E-9964-FC3108FAC78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75920" y="5250872"/>
          <a:ext cx="338480" cy="417784"/>
        </a:xfrm>
        <a:prstGeom prst="rect">
          <a:avLst/>
        </a:prstGeom>
      </xdr:spPr>
    </xdr:pic>
    <xdr:clientData/>
  </xdr:twoCellAnchor>
  <xdr:twoCellAnchor editAs="oneCell">
    <xdr:from>
      <xdr:col>0</xdr:col>
      <xdr:colOff>483989</xdr:colOff>
      <xdr:row>36</xdr:row>
      <xdr:rowOff>0</xdr:rowOff>
    </xdr:from>
    <xdr:to>
      <xdr:col>0</xdr:col>
      <xdr:colOff>845127</xdr:colOff>
      <xdr:row>38</xdr:row>
      <xdr:rowOff>75637</xdr:rowOff>
    </xdr:to>
    <xdr:pic>
      <xdr:nvPicPr>
        <xdr:cNvPr id="24" name="Graphic 23" descr="Gears with solid fill">
          <a:hlinkClick xmlns:r="http://schemas.openxmlformats.org/officeDocument/2006/relationships" r:id="rId18"/>
          <a:extLst>
            <a:ext uri="{FF2B5EF4-FFF2-40B4-BE49-F238E27FC236}">
              <a16:creationId xmlns:a16="http://schemas.microsoft.com/office/drawing/2014/main" id="{1A4F2790-CB42-4328-AF69-D5CED6B4CC8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483989" y="6691745"/>
          <a:ext cx="361138" cy="435856"/>
        </a:xfrm>
        <a:prstGeom prst="rect">
          <a:avLst/>
        </a:prstGeom>
      </xdr:spPr>
    </xdr:pic>
    <xdr:clientData/>
  </xdr:twoCellAnchor>
  <xdr:twoCellAnchor editAs="oneCell">
    <xdr:from>
      <xdr:col>0</xdr:col>
      <xdr:colOff>443346</xdr:colOff>
      <xdr:row>63</xdr:row>
      <xdr:rowOff>69273</xdr:rowOff>
    </xdr:from>
    <xdr:to>
      <xdr:col>0</xdr:col>
      <xdr:colOff>765979</xdr:colOff>
      <xdr:row>65</xdr:row>
      <xdr:rowOff>69764</xdr:rowOff>
    </xdr:to>
    <xdr:pic macro="[0]!ExitButton_Click">
      <xdr:nvPicPr>
        <xdr:cNvPr id="29" name="Graphic 28" descr="Back with solid fill">
          <a:extLst>
            <a:ext uri="{FF2B5EF4-FFF2-40B4-BE49-F238E27FC236}">
              <a16:creationId xmlns:a16="http://schemas.microsoft.com/office/drawing/2014/main" id="{BFF88065-41CD-4AEA-8130-7DFBE2C9739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443346" y="11623964"/>
          <a:ext cx="322633" cy="36070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182998</xdr:colOff>
      <xdr:row>1</xdr:row>
      <xdr:rowOff>34726</xdr:rowOff>
    </xdr:from>
    <xdr:to>
      <xdr:col>2</xdr:col>
      <xdr:colOff>39413</xdr:colOff>
      <xdr:row>57</xdr:row>
      <xdr:rowOff>174285</xdr:rowOff>
    </xdr:to>
    <xdr:sp macro="" textlink="">
      <xdr:nvSpPr>
        <xdr:cNvPr id="2" name="Rectangle: Rounded Corners 1">
          <a:extLst>
            <a:ext uri="{FF2B5EF4-FFF2-40B4-BE49-F238E27FC236}">
              <a16:creationId xmlns:a16="http://schemas.microsoft.com/office/drawing/2014/main" id="{8F505FF4-771B-F4EF-4E9B-FFB72D485A06}"/>
            </a:ext>
          </a:extLst>
        </xdr:cNvPr>
        <xdr:cNvSpPr/>
      </xdr:nvSpPr>
      <xdr:spPr>
        <a:xfrm>
          <a:off x="182998" y="244933"/>
          <a:ext cx="1065105" cy="11832318"/>
        </a:xfrm>
        <a:prstGeom prst="roundRect">
          <a:avLst/>
        </a:prstGeom>
        <a:solidFill>
          <a:srgbClr val="2F80E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0</xdr:col>
      <xdr:colOff>475140</xdr:colOff>
      <xdr:row>11</xdr:row>
      <xdr:rowOff>161916</xdr:rowOff>
    </xdr:from>
    <xdr:to>
      <xdr:col>1</xdr:col>
      <xdr:colOff>246541</xdr:colOff>
      <xdr:row>13</xdr:row>
      <xdr:rowOff>143445</xdr:rowOff>
    </xdr:to>
    <xdr:pic>
      <xdr:nvPicPr>
        <xdr:cNvPr id="4" name="Graphic 3" descr="Bar chart with solid fill">
          <a:hlinkClick xmlns:r="http://schemas.openxmlformats.org/officeDocument/2006/relationships" r:id="rId1"/>
          <a:extLst>
            <a:ext uri="{FF2B5EF4-FFF2-40B4-BE49-F238E27FC236}">
              <a16:creationId xmlns:a16="http://schemas.microsoft.com/office/drawing/2014/main" id="{196B98A9-89A8-4AFA-20A1-3262F05195E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475140" y="2421640"/>
          <a:ext cx="375746" cy="375667"/>
        </a:xfrm>
        <a:prstGeom prst="rect">
          <a:avLst/>
        </a:prstGeom>
      </xdr:spPr>
    </xdr:pic>
    <xdr:clientData/>
  </xdr:twoCellAnchor>
  <xdr:twoCellAnchor editAs="oneCell">
    <xdr:from>
      <xdr:col>0</xdr:col>
      <xdr:colOff>471968</xdr:colOff>
      <xdr:row>31</xdr:row>
      <xdr:rowOff>69745</xdr:rowOff>
    </xdr:from>
    <xdr:to>
      <xdr:col>1</xdr:col>
      <xdr:colOff>229257</xdr:colOff>
      <xdr:row>33</xdr:row>
      <xdr:rowOff>74281</xdr:rowOff>
    </xdr:to>
    <xdr:pic>
      <xdr:nvPicPr>
        <xdr:cNvPr id="6" name="Graphic 5" descr="Gears with solid fill">
          <a:hlinkClick xmlns:r="http://schemas.openxmlformats.org/officeDocument/2006/relationships" r:id="rId4"/>
          <a:extLst>
            <a:ext uri="{FF2B5EF4-FFF2-40B4-BE49-F238E27FC236}">
              <a16:creationId xmlns:a16="http://schemas.microsoft.com/office/drawing/2014/main" id="{F3EDC078-BD77-ECEF-023B-422F4D030F3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71968" y="6507331"/>
          <a:ext cx="361634" cy="424950"/>
        </a:xfrm>
        <a:prstGeom prst="rect">
          <a:avLst/>
        </a:prstGeom>
      </xdr:spPr>
    </xdr:pic>
    <xdr:clientData/>
  </xdr:twoCellAnchor>
  <xdr:twoCellAnchor editAs="oneCell">
    <xdr:from>
      <xdr:col>0</xdr:col>
      <xdr:colOff>474523</xdr:colOff>
      <xdr:row>24</xdr:row>
      <xdr:rowOff>154941</xdr:rowOff>
    </xdr:from>
    <xdr:to>
      <xdr:col>1</xdr:col>
      <xdr:colOff>209154</xdr:colOff>
      <xdr:row>26</xdr:row>
      <xdr:rowOff>141404</xdr:rowOff>
    </xdr:to>
    <xdr:pic>
      <xdr:nvPicPr>
        <xdr:cNvPr id="8" name="Graphic 7" descr="Research with solid fill">
          <a:hlinkClick xmlns:r="http://schemas.openxmlformats.org/officeDocument/2006/relationships" r:id="rId7"/>
          <a:extLst>
            <a:ext uri="{FF2B5EF4-FFF2-40B4-BE49-F238E27FC236}">
              <a16:creationId xmlns:a16="http://schemas.microsoft.com/office/drawing/2014/main" id="{3996C198-0D83-60F0-4245-B78428C8271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74523" y="5121079"/>
          <a:ext cx="338976" cy="406877"/>
        </a:xfrm>
        <a:prstGeom prst="rect">
          <a:avLst/>
        </a:prstGeom>
      </xdr:spPr>
    </xdr:pic>
    <xdr:clientData/>
  </xdr:twoCellAnchor>
  <xdr:twoCellAnchor editAs="oneCell">
    <xdr:from>
      <xdr:col>0</xdr:col>
      <xdr:colOff>469668</xdr:colOff>
      <xdr:row>18</xdr:row>
      <xdr:rowOff>62569</xdr:rowOff>
    </xdr:from>
    <xdr:to>
      <xdr:col>1</xdr:col>
      <xdr:colOff>211183</xdr:colOff>
      <xdr:row>20</xdr:row>
      <xdr:rowOff>47961</xdr:rowOff>
    </xdr:to>
    <xdr:pic>
      <xdr:nvPicPr>
        <xdr:cNvPr id="10" name="Graphic 9" descr="Document with solid fill">
          <a:hlinkClick xmlns:r="http://schemas.openxmlformats.org/officeDocument/2006/relationships" r:id="rId10"/>
          <a:extLst>
            <a:ext uri="{FF2B5EF4-FFF2-40B4-BE49-F238E27FC236}">
              <a16:creationId xmlns:a16="http://schemas.microsoft.com/office/drawing/2014/main" id="{65D05721-F16C-2E10-DB1E-AFD74B79558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69668" y="3767466"/>
          <a:ext cx="345860" cy="405805"/>
        </a:xfrm>
        <a:prstGeom prst="rect">
          <a:avLst/>
        </a:prstGeom>
      </xdr:spPr>
    </xdr:pic>
    <xdr:clientData/>
  </xdr:twoCellAnchor>
  <xdr:twoCellAnchor editAs="oneCell">
    <xdr:from>
      <xdr:col>0</xdr:col>
      <xdr:colOff>505380</xdr:colOff>
      <xdr:row>54</xdr:row>
      <xdr:rowOff>26239</xdr:rowOff>
    </xdr:from>
    <xdr:to>
      <xdr:col>1</xdr:col>
      <xdr:colOff>224164</xdr:colOff>
      <xdr:row>55</xdr:row>
      <xdr:rowOff>171287</xdr:rowOff>
    </xdr:to>
    <xdr:pic macro="[0]!ExitButton_Click">
      <xdr:nvPicPr>
        <xdr:cNvPr id="12" name="Graphic 11" descr="Back with solid fill">
          <a:extLst>
            <a:ext uri="{FF2B5EF4-FFF2-40B4-BE49-F238E27FC236}">
              <a16:creationId xmlns:a16="http://schemas.microsoft.com/office/drawing/2014/main" id="{49FFF589-BC4E-35F8-0F8D-72D87B8AC0C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05380" y="11298584"/>
          <a:ext cx="323129" cy="355255"/>
        </a:xfrm>
        <a:prstGeom prst="rect">
          <a:avLst/>
        </a:prstGeom>
      </xdr:spPr>
    </xdr:pic>
    <xdr:clientData/>
  </xdr:twoCellAnchor>
  <xdr:twoCellAnchor>
    <xdr:from>
      <xdr:col>3</xdr:col>
      <xdr:colOff>33303</xdr:colOff>
      <xdr:row>13</xdr:row>
      <xdr:rowOff>41456</xdr:rowOff>
    </xdr:from>
    <xdr:to>
      <xdr:col>6</xdr:col>
      <xdr:colOff>352606</xdr:colOff>
      <xdr:row>21</xdr:row>
      <xdr:rowOff>52238</xdr:rowOff>
    </xdr:to>
    <xdr:grpSp>
      <xdr:nvGrpSpPr>
        <xdr:cNvPr id="44" name="Group 43">
          <a:extLst>
            <a:ext uri="{FF2B5EF4-FFF2-40B4-BE49-F238E27FC236}">
              <a16:creationId xmlns:a16="http://schemas.microsoft.com/office/drawing/2014/main" id="{A19D5FC7-5AC3-20DB-4D55-41A45819118D}"/>
            </a:ext>
          </a:extLst>
        </xdr:cNvPr>
        <xdr:cNvGrpSpPr/>
      </xdr:nvGrpSpPr>
      <xdr:grpSpPr>
        <a:xfrm>
          <a:off x="1881558" y="2684137"/>
          <a:ext cx="2167559" cy="1696910"/>
          <a:chOff x="1100916" y="2330584"/>
          <a:chExt cx="2146102" cy="1524773"/>
        </a:xfrm>
      </xdr:grpSpPr>
      <xdr:sp macro="" textlink="">
        <xdr:nvSpPr>
          <xdr:cNvPr id="15" name="Rectangle: Rounded Corners 14">
            <a:extLst>
              <a:ext uri="{FF2B5EF4-FFF2-40B4-BE49-F238E27FC236}">
                <a16:creationId xmlns:a16="http://schemas.microsoft.com/office/drawing/2014/main" id="{41F1DCA4-C164-3C1A-3CDB-C752A97BFA58}"/>
              </a:ext>
            </a:extLst>
          </xdr:cNvPr>
          <xdr:cNvSpPr/>
        </xdr:nvSpPr>
        <xdr:spPr>
          <a:xfrm>
            <a:off x="1100916" y="2330584"/>
            <a:ext cx="2146102" cy="1524773"/>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chemeClr val="tx1"/>
                </a:solidFill>
                <a:latin typeface="Raleway" pitchFamily="2" charset="0"/>
                <a:ea typeface="Lato" panose="020F0502020204030203" pitchFamily="34" charset="0"/>
                <a:cs typeface="Lato" panose="020F0502020204030203" pitchFamily="34" charset="0"/>
              </a:rPr>
              <a:t>Brand Discovery Rate</a:t>
            </a:r>
          </a:p>
          <a:p>
            <a:pPr algn="l"/>
            <a:endParaRPr lang="en-PH" sz="1400" b="0">
              <a:solidFill>
                <a:schemeClr val="tx1"/>
              </a:solidFill>
              <a:latin typeface="Raleway" pitchFamily="2" charset="0"/>
              <a:ea typeface="Lato" panose="020F0502020204030203" pitchFamily="34" charset="0"/>
              <a:cs typeface="Lato" panose="020F0502020204030203" pitchFamily="34" charset="0"/>
            </a:endParaRPr>
          </a:p>
          <a:p>
            <a:pPr algn="l"/>
            <a:endParaRPr lang="en-PH" sz="1400" b="0">
              <a:solidFill>
                <a:schemeClr val="tx1"/>
              </a:solidFill>
              <a:latin typeface="Raleway" pitchFamily="2" charset="0"/>
              <a:ea typeface="Lato" panose="020F0502020204030203" pitchFamily="34" charset="0"/>
              <a:cs typeface="Lato" panose="020F0502020204030203" pitchFamily="34" charset="0"/>
            </a:endParaRPr>
          </a:p>
          <a:p>
            <a:pPr algn="l"/>
            <a:endParaRPr lang="en-PH" sz="1400" b="0">
              <a:solidFill>
                <a:schemeClr val="tx1"/>
              </a:solidFill>
              <a:latin typeface="Raleway" pitchFamily="2" charset="0"/>
              <a:ea typeface="Lato" panose="020F0502020204030203" pitchFamily="34" charset="0"/>
              <a:cs typeface="Lato" panose="020F0502020204030203" pitchFamily="34" charset="0"/>
            </a:endParaRPr>
          </a:p>
          <a:p>
            <a:pPr algn="l"/>
            <a:endParaRPr lang="en-PH" sz="1400" b="0">
              <a:solidFill>
                <a:schemeClr val="tx1"/>
              </a:solidFill>
              <a:latin typeface="Raleway" pitchFamily="2" charset="0"/>
              <a:ea typeface="+mn-ea"/>
              <a:cs typeface="+mn-cs"/>
            </a:endParaRPr>
          </a:p>
          <a:p>
            <a:pPr algn="l"/>
            <a:r>
              <a:rPr lang="en-PH" sz="900">
                <a:solidFill>
                  <a:schemeClr val="tx1">
                    <a:lumMod val="65000"/>
                    <a:lumOff val="35000"/>
                  </a:schemeClr>
                </a:solidFill>
                <a:latin typeface="Raleway" pitchFamily="2" charset="0"/>
              </a:rPr>
              <a:t>% who discovered new brands online</a:t>
            </a:r>
            <a:endParaRPr lang="en-PH" sz="900" b="0">
              <a:solidFill>
                <a:schemeClr val="tx1">
                  <a:lumMod val="65000"/>
                  <a:lumOff val="35000"/>
                </a:schemeClr>
              </a:solidFill>
              <a:latin typeface="Raleway" pitchFamily="2" charset="0"/>
              <a:ea typeface="Lato" panose="020F0502020204030203" pitchFamily="34" charset="0"/>
              <a:cs typeface="Lato" panose="020F0502020204030203" pitchFamily="34" charset="0"/>
            </a:endParaRPr>
          </a:p>
        </xdr:txBody>
      </xdr:sp>
      <xdr:pic>
        <xdr:nvPicPr>
          <xdr:cNvPr id="17" name="Graphic 16" descr="Eye with solid fill">
            <a:extLst>
              <a:ext uri="{FF2B5EF4-FFF2-40B4-BE49-F238E27FC236}">
                <a16:creationId xmlns:a16="http://schemas.microsoft.com/office/drawing/2014/main" id="{26FC87D6-50FC-BCA2-41A2-AB27454C85E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603232" y="2940661"/>
            <a:ext cx="418017" cy="376719"/>
          </a:xfrm>
          <a:prstGeom prst="rect">
            <a:avLst/>
          </a:prstGeom>
        </xdr:spPr>
      </xdr:pic>
      <xdr:sp macro="" textlink="'Analysis Layer'!B5">
        <xdr:nvSpPr>
          <xdr:cNvPr id="19" name="TextBox 18">
            <a:extLst>
              <a:ext uri="{FF2B5EF4-FFF2-40B4-BE49-F238E27FC236}">
                <a16:creationId xmlns:a16="http://schemas.microsoft.com/office/drawing/2014/main" id="{F82FBF87-06BF-D27D-8634-5F49132C89AC}"/>
              </a:ext>
            </a:extLst>
          </xdr:cNvPr>
          <xdr:cNvSpPr txBox="1"/>
        </xdr:nvSpPr>
        <xdr:spPr>
          <a:xfrm>
            <a:off x="1182900" y="2799853"/>
            <a:ext cx="1141767" cy="571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220E5F6-23B3-41B9-B546-2540216F8529}" type="TxLink">
              <a:rPr lang="en-US" sz="3200" b="1" i="0" u="none" strike="noStrike">
                <a:ln>
                  <a:noFill/>
                </a:ln>
                <a:solidFill>
                  <a:schemeClr val="tx1"/>
                </a:solidFill>
                <a:latin typeface="Lato" panose="020F0502020204030203" pitchFamily="34" charset="0"/>
                <a:ea typeface="Lato" panose="020F0502020204030203" pitchFamily="34" charset="0"/>
                <a:cs typeface="Lato" panose="020F0502020204030203" pitchFamily="34" charset="0"/>
              </a:rPr>
              <a:pPr/>
              <a:t>84%</a:t>
            </a:fld>
            <a:endParaRPr lang="en-PH" sz="3200" b="1">
              <a:ln>
                <a:noFill/>
              </a:ln>
              <a:solidFill>
                <a:schemeClr val="tx1"/>
              </a:solidFill>
              <a:latin typeface="Lato" panose="020F0502020204030203" pitchFamily="34" charset="0"/>
              <a:ea typeface="Lato" panose="020F0502020204030203" pitchFamily="34" charset="0"/>
              <a:cs typeface="Lato" panose="020F0502020204030203" pitchFamily="34" charset="0"/>
            </a:endParaRPr>
          </a:p>
        </xdr:txBody>
      </xdr:sp>
    </xdr:grpSp>
    <xdr:clientData/>
  </xdr:twoCellAnchor>
  <xdr:twoCellAnchor>
    <xdr:from>
      <xdr:col>7</xdr:col>
      <xdr:colOff>379927</xdr:colOff>
      <xdr:row>13</xdr:row>
      <xdr:rowOff>61793</xdr:rowOff>
    </xdr:from>
    <xdr:to>
      <xdr:col>11</xdr:col>
      <xdr:colOff>478254</xdr:colOff>
      <xdr:row>21</xdr:row>
      <xdr:rowOff>58721</xdr:rowOff>
    </xdr:to>
    <xdr:grpSp>
      <xdr:nvGrpSpPr>
        <xdr:cNvPr id="45" name="Group 44">
          <a:extLst>
            <a:ext uri="{FF2B5EF4-FFF2-40B4-BE49-F238E27FC236}">
              <a16:creationId xmlns:a16="http://schemas.microsoft.com/office/drawing/2014/main" id="{820B783E-0200-0343-7AEE-FD53A5CCBE2C}"/>
            </a:ext>
          </a:extLst>
        </xdr:cNvPr>
        <xdr:cNvGrpSpPr/>
      </xdr:nvGrpSpPr>
      <xdr:grpSpPr>
        <a:xfrm>
          <a:off x="4692523" y="2704474"/>
          <a:ext cx="2562667" cy="1683056"/>
          <a:chOff x="3405719" y="2344438"/>
          <a:chExt cx="2331135" cy="1510919"/>
        </a:xfrm>
      </xdr:grpSpPr>
      <xdr:sp macro="" textlink="">
        <xdr:nvSpPr>
          <xdr:cNvPr id="24" name="Rectangle: Rounded Corners 23">
            <a:extLst>
              <a:ext uri="{FF2B5EF4-FFF2-40B4-BE49-F238E27FC236}">
                <a16:creationId xmlns:a16="http://schemas.microsoft.com/office/drawing/2014/main" id="{357F7D49-A2C5-1110-DCF1-4057806B69EC}"/>
              </a:ext>
            </a:extLst>
          </xdr:cNvPr>
          <xdr:cNvSpPr/>
        </xdr:nvSpPr>
        <xdr:spPr>
          <a:xfrm>
            <a:off x="3405719" y="2344438"/>
            <a:ext cx="2331135" cy="1510919"/>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ysClr val="windowText" lastClr="000000"/>
                </a:solidFill>
                <a:latin typeface="Raleway" pitchFamily="2" charset="0"/>
                <a:ea typeface="Lato" panose="020F0502020204030203" pitchFamily="34" charset="0"/>
                <a:cs typeface="Lato" panose="020F0502020204030203" pitchFamily="34" charset="0"/>
              </a:rPr>
              <a:t>Purchase Conversion Rate</a:t>
            </a:r>
          </a:p>
          <a:p>
            <a:pPr algn="l"/>
            <a:endParaRPr lang="en-PH" sz="14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14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14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1100" b="0">
              <a:solidFill>
                <a:schemeClr val="tx1">
                  <a:lumMod val="65000"/>
                  <a:lumOff val="35000"/>
                </a:schemeClr>
              </a:solidFill>
              <a:latin typeface="Raleway" pitchFamily="2" charset="0"/>
              <a:ea typeface="Lato" panose="020F0502020204030203" pitchFamily="34" charset="0"/>
              <a:cs typeface="Lato" panose="020F0502020204030203" pitchFamily="34" charset="0"/>
            </a:endParaRPr>
          </a:p>
          <a:p>
            <a:pPr algn="l"/>
            <a:endParaRPr lang="en-PH" sz="1100">
              <a:solidFill>
                <a:schemeClr val="tx1">
                  <a:lumMod val="65000"/>
                  <a:lumOff val="35000"/>
                </a:schemeClr>
              </a:solidFill>
              <a:latin typeface="Raleway" pitchFamily="2" charset="0"/>
            </a:endParaRPr>
          </a:p>
          <a:p>
            <a:pPr algn="l"/>
            <a:r>
              <a:rPr lang="en-PH" sz="1100">
                <a:solidFill>
                  <a:schemeClr val="tx1">
                    <a:lumMod val="65000"/>
                    <a:lumOff val="35000"/>
                  </a:schemeClr>
                </a:solidFill>
                <a:latin typeface="Raleway" pitchFamily="2" charset="0"/>
              </a:rPr>
              <a:t>% who buy after seeing ads</a:t>
            </a:r>
          </a:p>
        </xdr:txBody>
      </xdr:sp>
      <xdr:pic>
        <xdr:nvPicPr>
          <xdr:cNvPr id="25" name="Graphic 24" descr="Shopping cart with solid fill">
            <a:extLst>
              <a:ext uri="{FF2B5EF4-FFF2-40B4-BE49-F238E27FC236}">
                <a16:creationId xmlns:a16="http://schemas.microsoft.com/office/drawing/2014/main" id="{69619DFB-8CBD-53B0-F8DC-18C807C12C4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5175905" y="2914564"/>
            <a:ext cx="377770" cy="376321"/>
          </a:xfrm>
          <a:prstGeom prst="rect">
            <a:avLst/>
          </a:prstGeom>
        </xdr:spPr>
      </xdr:pic>
      <xdr:sp macro="" textlink="'Analysis Layer'!B8">
        <xdr:nvSpPr>
          <xdr:cNvPr id="23" name="TextBox 22">
            <a:extLst>
              <a:ext uri="{FF2B5EF4-FFF2-40B4-BE49-F238E27FC236}">
                <a16:creationId xmlns:a16="http://schemas.microsoft.com/office/drawing/2014/main" id="{A1B57DEB-AD4B-DEC8-15D9-B00EA4336AB0}"/>
              </a:ext>
            </a:extLst>
          </xdr:cNvPr>
          <xdr:cNvSpPr txBox="1"/>
        </xdr:nvSpPr>
        <xdr:spPr>
          <a:xfrm>
            <a:off x="3487683" y="2817207"/>
            <a:ext cx="1141487" cy="576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A118CB-76A7-4EF5-9E4F-1DF5153A61F1}" type="TxLink">
              <a:rPr lang="en-US" sz="3200" b="1" i="0" u="none" strike="noStrike">
                <a:ln>
                  <a:noFill/>
                </a:ln>
                <a:solidFill>
                  <a:schemeClr val="tx1"/>
                </a:solidFill>
                <a:latin typeface="Lato" panose="020F0502020204030203" pitchFamily="34" charset="0"/>
                <a:ea typeface="Lato" panose="020F0502020204030203" pitchFamily="34" charset="0"/>
                <a:cs typeface="Lato" panose="020F0502020204030203" pitchFamily="34" charset="0"/>
              </a:rPr>
              <a:pPr/>
              <a:t>10%</a:t>
            </a:fld>
            <a:endParaRPr lang="en-PH" sz="3200" b="1">
              <a:ln>
                <a:noFill/>
              </a:ln>
              <a:solidFill>
                <a:schemeClr val="tx1"/>
              </a:solidFill>
              <a:latin typeface="Lato" panose="020F0502020204030203" pitchFamily="34" charset="0"/>
              <a:ea typeface="Lato" panose="020F0502020204030203" pitchFamily="34" charset="0"/>
              <a:cs typeface="Lato" panose="020F0502020204030203" pitchFamily="34" charset="0"/>
            </a:endParaRPr>
          </a:p>
        </xdr:txBody>
      </xdr:sp>
    </xdr:grpSp>
    <xdr:clientData/>
  </xdr:twoCellAnchor>
  <xdr:twoCellAnchor>
    <xdr:from>
      <xdr:col>3</xdr:col>
      <xdr:colOff>35449</xdr:colOff>
      <xdr:row>10</xdr:row>
      <xdr:rowOff>11777</xdr:rowOff>
    </xdr:from>
    <xdr:to>
      <xdr:col>6</xdr:col>
      <xdr:colOff>512793</xdr:colOff>
      <xdr:row>13</xdr:row>
      <xdr:rowOff>71780</xdr:rowOff>
    </xdr:to>
    <xdr:sp macro="" textlink="">
      <xdr:nvSpPr>
        <xdr:cNvPr id="26" name="TextBox 25">
          <a:extLst>
            <a:ext uri="{FF2B5EF4-FFF2-40B4-BE49-F238E27FC236}">
              <a16:creationId xmlns:a16="http://schemas.microsoft.com/office/drawing/2014/main" id="{7D791DA8-7E53-9ED1-6C2E-79E9199805BA}"/>
            </a:ext>
          </a:extLst>
        </xdr:cNvPr>
        <xdr:cNvSpPr txBox="1"/>
      </xdr:nvSpPr>
      <xdr:spPr>
        <a:xfrm>
          <a:off x="1848483" y="2087570"/>
          <a:ext cx="2290379" cy="63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2800" b="1">
              <a:solidFill>
                <a:schemeClr val="tx1"/>
              </a:solidFill>
              <a:latin typeface="Raleway" panose="020F0502020204030204" pitchFamily="2" charset="0"/>
            </a:rPr>
            <a:t>Dashboard</a:t>
          </a:r>
        </a:p>
      </xdr:txBody>
    </xdr:sp>
    <xdr:clientData/>
  </xdr:twoCellAnchor>
  <xdr:twoCellAnchor>
    <xdr:from>
      <xdr:col>12</xdr:col>
      <xdr:colOff>596356</xdr:colOff>
      <xdr:row>13</xdr:row>
      <xdr:rowOff>84606</xdr:rowOff>
    </xdr:from>
    <xdr:to>
      <xdr:col>16</xdr:col>
      <xdr:colOff>420414</xdr:colOff>
      <xdr:row>21</xdr:row>
      <xdr:rowOff>75927</xdr:rowOff>
    </xdr:to>
    <xdr:grpSp>
      <xdr:nvGrpSpPr>
        <xdr:cNvPr id="46" name="Group 45">
          <a:extLst>
            <a:ext uri="{FF2B5EF4-FFF2-40B4-BE49-F238E27FC236}">
              <a16:creationId xmlns:a16="http://schemas.microsoft.com/office/drawing/2014/main" id="{2CFF9D8E-6154-BE77-3BED-C883E383CD91}"/>
            </a:ext>
          </a:extLst>
        </xdr:cNvPr>
        <xdr:cNvGrpSpPr/>
      </xdr:nvGrpSpPr>
      <xdr:grpSpPr>
        <a:xfrm>
          <a:off x="7989377" y="2727287"/>
          <a:ext cx="2288399" cy="1677449"/>
          <a:chOff x="5891538" y="2340974"/>
          <a:chExt cx="2048848" cy="1505312"/>
        </a:xfrm>
      </xdr:grpSpPr>
      <xdr:sp macro="" textlink="">
        <xdr:nvSpPr>
          <xdr:cNvPr id="30" name="Rectangle: Rounded Corners 29">
            <a:extLst>
              <a:ext uri="{FF2B5EF4-FFF2-40B4-BE49-F238E27FC236}">
                <a16:creationId xmlns:a16="http://schemas.microsoft.com/office/drawing/2014/main" id="{7525E44D-1170-208B-6A9E-0DCE3277385D}"/>
              </a:ext>
            </a:extLst>
          </xdr:cNvPr>
          <xdr:cNvSpPr/>
        </xdr:nvSpPr>
        <xdr:spPr>
          <a:xfrm>
            <a:off x="5891538" y="2340974"/>
            <a:ext cx="2048848" cy="1505312"/>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ysClr val="windowText" lastClr="000000"/>
                </a:solidFill>
                <a:latin typeface="Raleway" pitchFamily="2" charset="0"/>
                <a:ea typeface="Lato" panose="020F0502020204030203" pitchFamily="34" charset="0"/>
                <a:cs typeface="Lato" panose="020F0502020204030203" pitchFamily="34" charset="0"/>
              </a:rPr>
              <a:t>Average Trust Score</a:t>
            </a:r>
          </a:p>
          <a:p>
            <a:pPr algn="l"/>
            <a:endParaRPr lang="en-PH" sz="14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14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14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1050" b="0">
              <a:solidFill>
                <a:schemeClr val="tx1">
                  <a:lumMod val="65000"/>
                  <a:lumOff val="35000"/>
                </a:schemeClr>
              </a:solidFill>
              <a:latin typeface="Raleway" pitchFamily="2" charset="0"/>
              <a:ea typeface="Lato" panose="020F0502020204030203" pitchFamily="34" charset="0"/>
              <a:cs typeface="Lato" panose="020F0502020204030203" pitchFamily="34" charset="0"/>
            </a:endParaRPr>
          </a:p>
          <a:p>
            <a:pPr algn="l"/>
            <a:endParaRPr lang="en-PH" sz="1050">
              <a:solidFill>
                <a:schemeClr val="tx1">
                  <a:lumMod val="65000"/>
                  <a:lumOff val="35000"/>
                </a:schemeClr>
              </a:solidFill>
              <a:latin typeface="Raleway" pitchFamily="2" charset="0"/>
            </a:endParaRPr>
          </a:p>
          <a:p>
            <a:pPr algn="l"/>
            <a:r>
              <a:rPr lang="en-PH" sz="1050">
                <a:solidFill>
                  <a:schemeClr val="tx1">
                    <a:lumMod val="65000"/>
                    <a:lumOff val="35000"/>
                  </a:schemeClr>
                </a:solidFill>
                <a:latin typeface="Raleway" pitchFamily="2" charset="0"/>
              </a:rPr>
              <a:t>Overall trust in digital ads (1–5)</a:t>
            </a:r>
          </a:p>
        </xdr:txBody>
      </xdr:sp>
      <xdr:pic>
        <xdr:nvPicPr>
          <xdr:cNvPr id="31" name="Graphic 30" descr="Handshake with solid fill">
            <a:extLst>
              <a:ext uri="{FF2B5EF4-FFF2-40B4-BE49-F238E27FC236}">
                <a16:creationId xmlns:a16="http://schemas.microsoft.com/office/drawing/2014/main" id="{12E7BB93-BC37-5B9C-9366-8BCFB82060F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7356929" y="2867608"/>
            <a:ext cx="401676" cy="455265"/>
          </a:xfrm>
          <a:prstGeom prst="rect">
            <a:avLst/>
          </a:prstGeom>
        </xdr:spPr>
      </xdr:pic>
      <xdr:sp macro="" textlink="'Analysis Layer'!B11">
        <xdr:nvSpPr>
          <xdr:cNvPr id="29" name="TextBox 28">
            <a:extLst>
              <a:ext uri="{FF2B5EF4-FFF2-40B4-BE49-F238E27FC236}">
                <a16:creationId xmlns:a16="http://schemas.microsoft.com/office/drawing/2014/main" id="{5EAB96EA-50DE-8866-A529-A5E2CFCB9418}"/>
              </a:ext>
            </a:extLst>
          </xdr:cNvPr>
          <xdr:cNvSpPr txBox="1"/>
        </xdr:nvSpPr>
        <xdr:spPr>
          <a:xfrm>
            <a:off x="5963576" y="2813743"/>
            <a:ext cx="1003259" cy="576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B00B647-010E-4C4D-BB84-DAEF1173C0F7}" type="TxLink">
              <a:rPr lang="en-US" sz="3200" b="1" i="0" u="none" strike="noStrike">
                <a:ln>
                  <a:noFill/>
                </a:ln>
                <a:solidFill>
                  <a:srgbClr val="000000"/>
                </a:solidFill>
                <a:latin typeface="Lato" panose="020F0502020204030203" pitchFamily="34" charset="0"/>
                <a:ea typeface="Lato" panose="020F0502020204030203" pitchFamily="34" charset="0"/>
                <a:cs typeface="Lato" panose="020F0502020204030203" pitchFamily="34" charset="0"/>
              </a:rPr>
              <a:pPr/>
              <a:t>3.6</a:t>
            </a:fld>
            <a:endParaRPr lang="en-PH" sz="7200" b="1">
              <a:ln>
                <a:noFill/>
              </a:ln>
              <a:solidFill>
                <a:schemeClr val="tx1"/>
              </a:solidFill>
              <a:latin typeface="Lato" panose="020F0502020204030203" pitchFamily="34" charset="0"/>
              <a:ea typeface="Lato" panose="020F0502020204030203" pitchFamily="34" charset="0"/>
              <a:cs typeface="Lato" panose="020F0502020204030203" pitchFamily="34" charset="0"/>
            </a:endParaRPr>
          </a:p>
        </xdr:txBody>
      </xdr:sp>
    </xdr:grpSp>
    <xdr:clientData/>
  </xdr:twoCellAnchor>
  <xdr:twoCellAnchor editAs="oneCell">
    <xdr:from>
      <xdr:col>3</xdr:col>
      <xdr:colOff>56921</xdr:colOff>
      <xdr:row>0</xdr:row>
      <xdr:rowOff>69273</xdr:rowOff>
    </xdr:from>
    <xdr:to>
      <xdr:col>30</xdr:col>
      <xdr:colOff>27214</xdr:colOff>
      <xdr:row>8</xdr:row>
      <xdr:rowOff>123700</xdr:rowOff>
    </xdr:to>
    <xdr:pic>
      <xdr:nvPicPr>
        <xdr:cNvPr id="33" name="Picture 32">
          <a:extLst>
            <a:ext uri="{FF2B5EF4-FFF2-40B4-BE49-F238E27FC236}">
              <a16:creationId xmlns:a16="http://schemas.microsoft.com/office/drawing/2014/main" id="{48989970-F1EC-11A6-93C3-A2E8876127B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xdr:blipFill>
      <xdr:spPr>
        <a:xfrm>
          <a:off x="1893885" y="69273"/>
          <a:ext cx="16502972" cy="1796141"/>
        </a:xfrm>
        <a:prstGeom prst="rect">
          <a:avLst/>
        </a:prstGeom>
      </xdr:spPr>
    </xdr:pic>
    <xdr:clientData/>
  </xdr:twoCellAnchor>
  <xdr:twoCellAnchor>
    <xdr:from>
      <xdr:col>17</xdr:col>
      <xdr:colOff>461313</xdr:colOff>
      <xdr:row>13</xdr:row>
      <xdr:rowOff>110006</xdr:rowOff>
    </xdr:from>
    <xdr:to>
      <xdr:col>22</xdr:col>
      <xdr:colOff>197069</xdr:colOff>
      <xdr:row>21</xdr:row>
      <xdr:rowOff>84998</xdr:rowOff>
    </xdr:to>
    <xdr:grpSp>
      <xdr:nvGrpSpPr>
        <xdr:cNvPr id="47" name="Group 46">
          <a:extLst>
            <a:ext uri="{FF2B5EF4-FFF2-40B4-BE49-F238E27FC236}">
              <a16:creationId xmlns:a16="http://schemas.microsoft.com/office/drawing/2014/main" id="{7824397E-95B1-A5E5-BECA-A6E7F3822232}"/>
            </a:ext>
          </a:extLst>
        </xdr:cNvPr>
        <xdr:cNvGrpSpPr/>
      </xdr:nvGrpSpPr>
      <xdr:grpSpPr>
        <a:xfrm>
          <a:off x="10934760" y="2752687"/>
          <a:ext cx="2816181" cy="1661120"/>
          <a:chOff x="8112224" y="2366374"/>
          <a:chExt cx="2147562" cy="1488983"/>
        </a:xfrm>
      </xdr:grpSpPr>
      <xdr:sp macro="" textlink="">
        <xdr:nvSpPr>
          <xdr:cNvPr id="37" name="Rectangle: Rounded Corners 36">
            <a:extLst>
              <a:ext uri="{FF2B5EF4-FFF2-40B4-BE49-F238E27FC236}">
                <a16:creationId xmlns:a16="http://schemas.microsoft.com/office/drawing/2014/main" id="{271BBD90-BCD6-2C26-00D1-7F04DBD10BE5}"/>
              </a:ext>
            </a:extLst>
          </xdr:cNvPr>
          <xdr:cNvSpPr/>
        </xdr:nvSpPr>
        <xdr:spPr>
          <a:xfrm>
            <a:off x="8112224" y="2366374"/>
            <a:ext cx="2147562" cy="1488983"/>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ysClr val="windowText" lastClr="000000"/>
                </a:solidFill>
                <a:latin typeface="Raleway" pitchFamily="2" charset="0"/>
                <a:ea typeface="Lato" panose="020F0502020204030203" pitchFamily="34" charset="0"/>
                <a:cs typeface="Lato" panose="020F0502020204030203" pitchFamily="34" charset="0"/>
              </a:rPr>
              <a:t>Recommendation Score</a:t>
            </a:r>
          </a:p>
          <a:p>
            <a:pPr algn="l"/>
            <a:endParaRPr lang="en-PH" sz="6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18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14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900">
              <a:solidFill>
                <a:schemeClr val="tx1">
                  <a:lumMod val="65000"/>
                  <a:lumOff val="35000"/>
                </a:schemeClr>
              </a:solidFill>
              <a:latin typeface="Raleway" pitchFamily="2" charset="0"/>
            </a:endParaRPr>
          </a:p>
          <a:p>
            <a:pPr algn="l"/>
            <a:endParaRPr lang="en-PH" sz="1000">
              <a:solidFill>
                <a:schemeClr val="tx1">
                  <a:lumMod val="65000"/>
                  <a:lumOff val="35000"/>
                </a:schemeClr>
              </a:solidFill>
              <a:latin typeface="Raleway" pitchFamily="2" charset="0"/>
            </a:endParaRPr>
          </a:p>
          <a:p>
            <a:pPr algn="l"/>
            <a:r>
              <a:rPr lang="en-PH" sz="1000">
                <a:solidFill>
                  <a:schemeClr val="tx1">
                    <a:lumMod val="65000"/>
                    <a:lumOff val="35000"/>
                  </a:schemeClr>
                </a:solidFill>
                <a:latin typeface="Raleway" pitchFamily="2" charset="0"/>
              </a:rPr>
              <a:t>Likelihood to recommend discovered brands</a:t>
            </a:r>
          </a:p>
        </xdr:txBody>
      </xdr:sp>
      <xdr:pic>
        <xdr:nvPicPr>
          <xdr:cNvPr id="38" name="Graphic 37" descr="Star with solid fill">
            <a:extLst>
              <a:ext uri="{FF2B5EF4-FFF2-40B4-BE49-F238E27FC236}">
                <a16:creationId xmlns:a16="http://schemas.microsoft.com/office/drawing/2014/main" id="{FD65C3EA-6A0F-C508-2714-16F26916953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rcRect/>
          <a:stretch/>
        </xdr:blipFill>
        <xdr:spPr>
          <a:xfrm>
            <a:off x="9704615" y="2956087"/>
            <a:ext cx="401676" cy="401676"/>
          </a:xfrm>
          <a:prstGeom prst="rect">
            <a:avLst/>
          </a:prstGeom>
        </xdr:spPr>
      </xdr:pic>
      <xdr:sp macro="" textlink="'Analysis Layer'!B14">
        <xdr:nvSpPr>
          <xdr:cNvPr id="36" name="TextBox 35">
            <a:extLst>
              <a:ext uri="{FF2B5EF4-FFF2-40B4-BE49-F238E27FC236}">
                <a16:creationId xmlns:a16="http://schemas.microsoft.com/office/drawing/2014/main" id="{0295D2DF-3509-8B53-65A7-DAFF797C23EA}"/>
              </a:ext>
            </a:extLst>
          </xdr:cNvPr>
          <xdr:cNvSpPr txBox="1"/>
        </xdr:nvSpPr>
        <xdr:spPr>
          <a:xfrm>
            <a:off x="8184262" y="2839143"/>
            <a:ext cx="1003259" cy="576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3704F3B-7C08-47D5-9836-BF6CF53303D2}" type="TxLink">
              <a:rPr lang="en-US" sz="3200" b="1" i="0" u="none" strike="noStrike">
                <a:ln>
                  <a:noFill/>
                </a:ln>
                <a:solidFill>
                  <a:srgbClr val="000000"/>
                </a:solidFill>
                <a:latin typeface="Lato" panose="020F0502020204030203" pitchFamily="34" charset="0"/>
                <a:ea typeface="Lato" panose="020F0502020204030203" pitchFamily="34" charset="0"/>
                <a:cs typeface="Lato" panose="020F0502020204030203" pitchFamily="34" charset="0"/>
              </a:rPr>
              <a:pPr/>
              <a:t>3.5</a:t>
            </a:fld>
            <a:endParaRPr lang="en-PH" sz="23900" b="1">
              <a:ln>
                <a:noFill/>
              </a:ln>
              <a:solidFill>
                <a:schemeClr val="tx1"/>
              </a:solidFill>
              <a:latin typeface="Lato" panose="020F0502020204030203" pitchFamily="34" charset="0"/>
              <a:ea typeface="Lato" panose="020F0502020204030203" pitchFamily="34" charset="0"/>
              <a:cs typeface="Lato" panose="020F0502020204030203" pitchFamily="34" charset="0"/>
            </a:endParaRPr>
          </a:p>
        </xdr:txBody>
      </xdr:sp>
    </xdr:grpSp>
    <xdr:clientData/>
  </xdr:twoCellAnchor>
  <xdr:twoCellAnchor>
    <xdr:from>
      <xdr:col>23</xdr:col>
      <xdr:colOff>197850</xdr:colOff>
      <xdr:row>13</xdr:row>
      <xdr:rowOff>115614</xdr:rowOff>
    </xdr:from>
    <xdr:to>
      <xdr:col>26</xdr:col>
      <xdr:colOff>414127</xdr:colOff>
      <xdr:row>21</xdr:row>
      <xdr:rowOff>74278</xdr:rowOff>
    </xdr:to>
    <xdr:grpSp>
      <xdr:nvGrpSpPr>
        <xdr:cNvPr id="48" name="Group 47">
          <a:extLst>
            <a:ext uri="{FF2B5EF4-FFF2-40B4-BE49-F238E27FC236}">
              <a16:creationId xmlns:a16="http://schemas.microsoft.com/office/drawing/2014/main" id="{068A7D55-513A-4B55-4A9E-CC98AECB0133}"/>
            </a:ext>
          </a:extLst>
        </xdr:cNvPr>
        <xdr:cNvGrpSpPr/>
      </xdr:nvGrpSpPr>
      <xdr:grpSpPr>
        <a:xfrm>
          <a:off x="14367807" y="2758295"/>
          <a:ext cx="2064533" cy="1644792"/>
          <a:chOff x="10459909" y="2391774"/>
          <a:chExt cx="2048848" cy="1472655"/>
        </a:xfrm>
      </xdr:grpSpPr>
      <xdr:sp macro="" textlink="">
        <xdr:nvSpPr>
          <xdr:cNvPr id="42" name="Rectangle: Rounded Corners 41">
            <a:extLst>
              <a:ext uri="{FF2B5EF4-FFF2-40B4-BE49-F238E27FC236}">
                <a16:creationId xmlns:a16="http://schemas.microsoft.com/office/drawing/2014/main" id="{3DE6C783-7356-5876-44FC-F7FE65F63658}"/>
              </a:ext>
            </a:extLst>
          </xdr:cNvPr>
          <xdr:cNvSpPr/>
        </xdr:nvSpPr>
        <xdr:spPr>
          <a:xfrm>
            <a:off x="10459909" y="2391774"/>
            <a:ext cx="2048848" cy="1472655"/>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0">
                <a:solidFill>
                  <a:sysClr val="windowText" lastClr="000000"/>
                </a:solidFill>
                <a:latin typeface="Raleway" pitchFamily="2" charset="0"/>
                <a:ea typeface="Lato" panose="020F0502020204030203" pitchFamily="34" charset="0"/>
                <a:cs typeface="Lato" panose="020F0502020204030203" pitchFamily="34" charset="0"/>
              </a:rPr>
              <a:t>Engagement Index</a:t>
            </a:r>
          </a:p>
          <a:p>
            <a:pPr algn="l"/>
            <a:endParaRPr lang="en-PH" sz="14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14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1400" b="0">
              <a:solidFill>
                <a:sysClr val="windowText" lastClr="000000"/>
              </a:solidFill>
              <a:latin typeface="Raleway" pitchFamily="2" charset="0"/>
              <a:ea typeface="Lato" panose="020F0502020204030203" pitchFamily="34" charset="0"/>
              <a:cs typeface="Lato" panose="020F0502020204030203" pitchFamily="34" charset="0"/>
            </a:endParaRPr>
          </a:p>
          <a:p>
            <a:pPr algn="l"/>
            <a:endParaRPr lang="en-PH" sz="900" b="0">
              <a:solidFill>
                <a:sysClr val="windowText" lastClr="000000"/>
              </a:solidFill>
              <a:latin typeface="Raleway" pitchFamily="2" charset="0"/>
              <a:ea typeface="Lato" panose="020F0502020204030203" pitchFamily="34" charset="0"/>
              <a:cs typeface="Lato" panose="020F0502020204030203" pitchFamily="34" charset="0"/>
            </a:endParaRPr>
          </a:p>
          <a:p>
            <a:pPr algn="l"/>
            <a:r>
              <a:rPr lang="en-PH" sz="900">
                <a:solidFill>
                  <a:schemeClr val="tx1">
                    <a:lumMod val="65000"/>
                    <a:lumOff val="35000"/>
                  </a:schemeClr>
                </a:solidFill>
                <a:latin typeface="Raleway" pitchFamily="2" charset="0"/>
              </a:rPr>
              <a:t>Average interaction level with ads</a:t>
            </a:r>
          </a:p>
        </xdr:txBody>
      </xdr:sp>
      <xdr:pic>
        <xdr:nvPicPr>
          <xdr:cNvPr id="43" name="Graphic 42" descr="Cursor with solid fill">
            <a:extLst>
              <a:ext uri="{FF2B5EF4-FFF2-40B4-BE49-F238E27FC236}">
                <a16:creationId xmlns:a16="http://schemas.microsoft.com/office/drawing/2014/main" id="{A6E846D4-5989-074A-147F-D17D9AD3DB8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rcRect/>
          <a:stretch/>
        </xdr:blipFill>
        <xdr:spPr>
          <a:xfrm>
            <a:off x="11979728" y="2972416"/>
            <a:ext cx="401676" cy="401676"/>
          </a:xfrm>
          <a:prstGeom prst="rect">
            <a:avLst/>
          </a:prstGeom>
        </xdr:spPr>
      </xdr:pic>
      <xdr:sp macro="" textlink="'Analysis Layer'!B17">
        <xdr:nvSpPr>
          <xdr:cNvPr id="41" name="TextBox 40">
            <a:extLst>
              <a:ext uri="{FF2B5EF4-FFF2-40B4-BE49-F238E27FC236}">
                <a16:creationId xmlns:a16="http://schemas.microsoft.com/office/drawing/2014/main" id="{D0E50769-7DD9-09DF-B427-8C360CCC0020}"/>
              </a:ext>
            </a:extLst>
          </xdr:cNvPr>
          <xdr:cNvSpPr txBox="1"/>
        </xdr:nvSpPr>
        <xdr:spPr>
          <a:xfrm>
            <a:off x="10531947" y="2864543"/>
            <a:ext cx="1003259" cy="576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8225E9-E1D4-446D-991B-E00F26D86C68}" type="TxLink">
              <a:rPr lang="en-US" sz="3200" b="1" i="0" u="none" strike="noStrike">
                <a:ln>
                  <a:noFill/>
                </a:ln>
                <a:solidFill>
                  <a:srgbClr val="000000"/>
                </a:solidFill>
                <a:latin typeface="Lato" panose="020F0502020204030203" pitchFamily="34" charset="0"/>
                <a:ea typeface="Lato" panose="020F0502020204030203" pitchFamily="34" charset="0"/>
                <a:cs typeface="Lato" panose="020F0502020204030203" pitchFamily="34" charset="0"/>
              </a:rPr>
              <a:pPr/>
              <a:t>2.4</a:t>
            </a:fld>
            <a:endParaRPr lang="en-PH" sz="23900" b="1">
              <a:ln>
                <a:noFill/>
              </a:ln>
              <a:solidFill>
                <a:schemeClr val="tx1"/>
              </a:solidFill>
              <a:latin typeface="Lato" panose="020F0502020204030203" pitchFamily="34" charset="0"/>
              <a:ea typeface="Lato" panose="020F0502020204030203" pitchFamily="34" charset="0"/>
              <a:cs typeface="Lato" panose="020F0502020204030203" pitchFamily="34" charset="0"/>
            </a:endParaRPr>
          </a:p>
        </xdr:txBody>
      </xdr:sp>
    </xdr:grpSp>
    <xdr:clientData/>
  </xdr:twoCellAnchor>
  <xdr:twoCellAnchor editAs="oneCell">
    <xdr:from>
      <xdr:col>3</xdr:col>
      <xdr:colOff>45615</xdr:colOff>
      <xdr:row>42</xdr:row>
      <xdr:rowOff>54430</xdr:rowOff>
    </xdr:from>
    <xdr:to>
      <xdr:col>12</xdr:col>
      <xdr:colOff>0</xdr:colOff>
      <xdr:row>45</xdr:row>
      <xdr:rowOff>0</xdr:rowOff>
    </xdr:to>
    <mc:AlternateContent xmlns:mc="http://schemas.openxmlformats.org/markup-compatibility/2006" xmlns:a14="http://schemas.microsoft.com/office/drawing/2010/main">
      <mc:Choice Requires="a14">
        <xdr:graphicFrame macro="">
          <xdr:nvGraphicFramePr>
            <xdr:cNvPr id="55" name="Metric Type 1">
              <a:extLst>
                <a:ext uri="{FF2B5EF4-FFF2-40B4-BE49-F238E27FC236}">
                  <a16:creationId xmlns:a16="http://schemas.microsoft.com/office/drawing/2014/main" id="{0371040F-B5EC-4A74-BD0C-DBEFB35B6DEC}"/>
                </a:ext>
              </a:extLst>
            </xdr:cNvPr>
            <xdr:cNvGraphicFramePr/>
          </xdr:nvGraphicFramePr>
          <xdr:xfrm>
            <a:off x="0" y="0"/>
            <a:ext cx="0" cy="0"/>
          </xdr:xfrm>
          <a:graphic>
            <a:graphicData uri="http://schemas.microsoft.com/office/drawing/2010/slicer">
              <sle:slicer xmlns:sle="http://schemas.microsoft.com/office/drawing/2010/slicer" name="Metric Type 1"/>
            </a:graphicData>
          </a:graphic>
        </xdr:graphicFrame>
      </mc:Choice>
      <mc:Fallback xmlns="">
        <xdr:sp macro="" textlink="">
          <xdr:nvSpPr>
            <xdr:cNvPr id="0" name=""/>
            <xdr:cNvSpPr>
              <a:spLocks noTextEdit="1"/>
            </xdr:cNvSpPr>
          </xdr:nvSpPr>
          <xdr:spPr>
            <a:xfrm>
              <a:off x="1893870" y="8809324"/>
              <a:ext cx="5499151" cy="577867"/>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14740</xdr:colOff>
      <xdr:row>45</xdr:row>
      <xdr:rowOff>117928</xdr:rowOff>
    </xdr:from>
    <xdr:to>
      <xdr:col>12</xdr:col>
      <xdr:colOff>0</xdr:colOff>
      <xdr:row>58</xdr:row>
      <xdr:rowOff>0</xdr:rowOff>
    </xdr:to>
    <xdr:grpSp>
      <xdr:nvGrpSpPr>
        <xdr:cNvPr id="58" name="Group 57">
          <a:extLst>
            <a:ext uri="{FF2B5EF4-FFF2-40B4-BE49-F238E27FC236}">
              <a16:creationId xmlns:a16="http://schemas.microsoft.com/office/drawing/2014/main" id="{C67C13AA-3174-D083-8A79-C18228CFE071}"/>
            </a:ext>
          </a:extLst>
        </xdr:cNvPr>
        <xdr:cNvGrpSpPr/>
      </xdr:nvGrpSpPr>
      <xdr:grpSpPr>
        <a:xfrm>
          <a:off x="1862995" y="9505119"/>
          <a:ext cx="5530026" cy="2622030"/>
          <a:chOff x="1126666" y="4604548"/>
          <a:chExt cx="4669776" cy="2857068"/>
        </a:xfrm>
      </xdr:grpSpPr>
      <xdr:sp macro="" textlink="">
        <xdr:nvSpPr>
          <xdr:cNvPr id="51" name="Rectangle: Rounded Corners 50">
            <a:extLst>
              <a:ext uri="{FF2B5EF4-FFF2-40B4-BE49-F238E27FC236}">
                <a16:creationId xmlns:a16="http://schemas.microsoft.com/office/drawing/2014/main" id="{FCDEAF22-8043-BB4B-BFE0-E8FC4AF061FF}"/>
              </a:ext>
            </a:extLst>
          </xdr:cNvPr>
          <xdr:cNvSpPr/>
        </xdr:nvSpPr>
        <xdr:spPr>
          <a:xfrm>
            <a:off x="1126666" y="4604548"/>
            <a:ext cx="4669776" cy="2857068"/>
          </a:xfrm>
          <a:custGeom>
            <a:avLst/>
            <a:gdLst>
              <a:gd name="connsiteX0" fmla="*/ 0 w 4803145"/>
              <a:gd name="connsiteY0" fmla="*/ 491457 h 2948686"/>
              <a:gd name="connsiteX1" fmla="*/ 491457 w 4803145"/>
              <a:gd name="connsiteY1" fmla="*/ 0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491457 w 4803145"/>
              <a:gd name="connsiteY6" fmla="*/ 2948686 h 2948686"/>
              <a:gd name="connsiteX7" fmla="*/ 0 w 4803145"/>
              <a:gd name="connsiteY7" fmla="*/ 2457229 h 2948686"/>
              <a:gd name="connsiteX8" fmla="*/ 0 w 4803145"/>
              <a:gd name="connsiteY8" fmla="*/ 491457 h 2948686"/>
              <a:gd name="connsiteX0" fmla="*/ 0 w 4803145"/>
              <a:gd name="connsiteY0" fmla="*/ 491457 h 2948686"/>
              <a:gd name="connsiteX1" fmla="*/ 277725 w 4803145"/>
              <a:gd name="connsiteY1" fmla="*/ 18585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491457 w 4803145"/>
              <a:gd name="connsiteY6" fmla="*/ 2948686 h 2948686"/>
              <a:gd name="connsiteX7" fmla="*/ 0 w 4803145"/>
              <a:gd name="connsiteY7" fmla="*/ 2457229 h 2948686"/>
              <a:gd name="connsiteX8" fmla="*/ 0 w 4803145"/>
              <a:gd name="connsiteY8" fmla="*/ 491457 h 2948686"/>
              <a:gd name="connsiteX0" fmla="*/ 0 w 4803145"/>
              <a:gd name="connsiteY0" fmla="*/ 491457 h 2948686"/>
              <a:gd name="connsiteX1" fmla="*/ 277725 w 4803145"/>
              <a:gd name="connsiteY1" fmla="*/ 18585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296311 w 4803145"/>
              <a:gd name="connsiteY6" fmla="*/ 2920808 h 2948686"/>
              <a:gd name="connsiteX7" fmla="*/ 0 w 4803145"/>
              <a:gd name="connsiteY7" fmla="*/ 2457229 h 2948686"/>
              <a:gd name="connsiteX8" fmla="*/ 0 w 4803145"/>
              <a:gd name="connsiteY8" fmla="*/ 491457 h 2948686"/>
              <a:gd name="connsiteX0" fmla="*/ 0 w 4803229"/>
              <a:gd name="connsiteY0" fmla="*/ 491457 h 2957979"/>
              <a:gd name="connsiteX1" fmla="*/ 277725 w 4803229"/>
              <a:gd name="connsiteY1" fmla="*/ 18585 h 2957979"/>
              <a:gd name="connsiteX2" fmla="*/ 4311688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277725 w 4803229"/>
              <a:gd name="connsiteY1" fmla="*/ 18585 h 2957979"/>
              <a:gd name="connsiteX2" fmla="*/ 4516127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1 w 4803230"/>
              <a:gd name="connsiteY0" fmla="*/ 491457 h 2957979"/>
              <a:gd name="connsiteX1" fmla="*/ 268433 w 4803230"/>
              <a:gd name="connsiteY1" fmla="*/ 18585 h 2957979"/>
              <a:gd name="connsiteX2" fmla="*/ 4516128 w 4803230"/>
              <a:gd name="connsiteY2" fmla="*/ 0 h 2957979"/>
              <a:gd name="connsiteX3" fmla="*/ 4803146 w 4803230"/>
              <a:gd name="connsiteY3" fmla="*/ 491457 h 2957979"/>
              <a:gd name="connsiteX4" fmla="*/ 4803146 w 4803230"/>
              <a:gd name="connsiteY4" fmla="*/ 2457229 h 2957979"/>
              <a:gd name="connsiteX5" fmla="*/ 4544006 w 4803230"/>
              <a:gd name="connsiteY5" fmla="*/ 2957979 h 2957979"/>
              <a:gd name="connsiteX6" fmla="*/ 296312 w 4803230"/>
              <a:gd name="connsiteY6" fmla="*/ 2920808 h 2957979"/>
              <a:gd name="connsiteX7" fmla="*/ 1 w 4803230"/>
              <a:gd name="connsiteY7" fmla="*/ 2457229 h 2957979"/>
              <a:gd name="connsiteX8" fmla="*/ 1 w 4803230"/>
              <a:gd name="connsiteY8" fmla="*/ 491457 h 2957979"/>
              <a:gd name="connsiteX0" fmla="*/ 0 w 4803229"/>
              <a:gd name="connsiteY0" fmla="*/ 491457 h 2957979"/>
              <a:gd name="connsiteX1" fmla="*/ 305602 w 4803229"/>
              <a:gd name="connsiteY1" fmla="*/ 27878 h 2957979"/>
              <a:gd name="connsiteX2" fmla="*/ 4516127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05602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24187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24187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2094 w 4805323"/>
              <a:gd name="connsiteY0" fmla="*/ 491457 h 2957979"/>
              <a:gd name="connsiteX1" fmla="*/ 326281 w 4805323"/>
              <a:gd name="connsiteY1" fmla="*/ 27878 h 2957979"/>
              <a:gd name="connsiteX2" fmla="*/ 4508929 w 4805323"/>
              <a:gd name="connsiteY2" fmla="*/ 0 h 2957979"/>
              <a:gd name="connsiteX3" fmla="*/ 4805239 w 4805323"/>
              <a:gd name="connsiteY3" fmla="*/ 491457 h 2957979"/>
              <a:gd name="connsiteX4" fmla="*/ 4805239 w 4805323"/>
              <a:gd name="connsiteY4" fmla="*/ 2457229 h 2957979"/>
              <a:gd name="connsiteX5" fmla="*/ 4546099 w 4805323"/>
              <a:gd name="connsiteY5" fmla="*/ 2957979 h 2957979"/>
              <a:gd name="connsiteX6" fmla="*/ 233357 w 4805323"/>
              <a:gd name="connsiteY6" fmla="*/ 2939393 h 2957979"/>
              <a:gd name="connsiteX7" fmla="*/ 2094 w 4805323"/>
              <a:gd name="connsiteY7" fmla="*/ 2457229 h 2957979"/>
              <a:gd name="connsiteX8" fmla="*/ 2094 w 4805323"/>
              <a:gd name="connsiteY8" fmla="*/ 491457 h 2957979"/>
              <a:gd name="connsiteX0" fmla="*/ 2094 w 4806299"/>
              <a:gd name="connsiteY0" fmla="*/ 491457 h 2957979"/>
              <a:gd name="connsiteX1" fmla="*/ 326281 w 4806299"/>
              <a:gd name="connsiteY1" fmla="*/ 27878 h 2957979"/>
              <a:gd name="connsiteX2" fmla="*/ 4508929 w 4806299"/>
              <a:gd name="connsiteY2" fmla="*/ 0 h 2957979"/>
              <a:gd name="connsiteX3" fmla="*/ 4805239 w 4806299"/>
              <a:gd name="connsiteY3" fmla="*/ 491457 h 2957979"/>
              <a:gd name="connsiteX4" fmla="*/ 4805239 w 4806299"/>
              <a:gd name="connsiteY4" fmla="*/ 2457229 h 2957979"/>
              <a:gd name="connsiteX5" fmla="*/ 4564684 w 4806299"/>
              <a:gd name="connsiteY5" fmla="*/ 2957979 h 2957979"/>
              <a:gd name="connsiteX6" fmla="*/ 233357 w 4806299"/>
              <a:gd name="connsiteY6" fmla="*/ 2939393 h 2957979"/>
              <a:gd name="connsiteX7" fmla="*/ 2094 w 4806299"/>
              <a:gd name="connsiteY7" fmla="*/ 2457229 h 2957979"/>
              <a:gd name="connsiteX8" fmla="*/ 2094 w 4806299"/>
              <a:gd name="connsiteY8" fmla="*/ 491457 h 2957979"/>
              <a:gd name="connsiteX0" fmla="*/ 1 w 4804206"/>
              <a:gd name="connsiteY0" fmla="*/ 491457 h 2957979"/>
              <a:gd name="connsiteX1" fmla="*/ 324188 w 4804206"/>
              <a:gd name="connsiteY1" fmla="*/ 27878 h 2957979"/>
              <a:gd name="connsiteX2" fmla="*/ 4506836 w 4804206"/>
              <a:gd name="connsiteY2" fmla="*/ 0 h 2957979"/>
              <a:gd name="connsiteX3" fmla="*/ 4803146 w 4804206"/>
              <a:gd name="connsiteY3" fmla="*/ 491457 h 2957979"/>
              <a:gd name="connsiteX4" fmla="*/ 4803146 w 4804206"/>
              <a:gd name="connsiteY4" fmla="*/ 2457229 h 2957979"/>
              <a:gd name="connsiteX5" fmla="*/ 4562591 w 4804206"/>
              <a:gd name="connsiteY5" fmla="*/ 2957979 h 2957979"/>
              <a:gd name="connsiteX6" fmla="*/ 296313 w 4804206"/>
              <a:gd name="connsiteY6" fmla="*/ 2939393 h 2957979"/>
              <a:gd name="connsiteX7" fmla="*/ 1 w 4804206"/>
              <a:gd name="connsiteY7" fmla="*/ 2457229 h 2957979"/>
              <a:gd name="connsiteX8" fmla="*/ 1 w 4804206"/>
              <a:gd name="connsiteY8" fmla="*/ 491457 h 29579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04206" h="2957979">
                <a:moveTo>
                  <a:pt x="1" y="491457"/>
                </a:moveTo>
                <a:cubicBezTo>
                  <a:pt x="1" y="220033"/>
                  <a:pt x="-2992" y="18585"/>
                  <a:pt x="324188" y="27878"/>
                </a:cubicBezTo>
                <a:lnTo>
                  <a:pt x="4506836" y="0"/>
                </a:lnTo>
                <a:cubicBezTo>
                  <a:pt x="4778260" y="0"/>
                  <a:pt x="4803146" y="220033"/>
                  <a:pt x="4803146" y="491457"/>
                </a:cubicBezTo>
                <a:lnTo>
                  <a:pt x="4803146" y="2457229"/>
                </a:lnTo>
                <a:cubicBezTo>
                  <a:pt x="4803146" y="2728653"/>
                  <a:pt x="4834015" y="2957979"/>
                  <a:pt x="4562591" y="2957979"/>
                </a:cubicBezTo>
                <a:lnTo>
                  <a:pt x="296313" y="2939393"/>
                </a:lnTo>
                <a:cubicBezTo>
                  <a:pt x="24889" y="2939393"/>
                  <a:pt x="1" y="2728653"/>
                  <a:pt x="1" y="2457229"/>
                </a:cubicBezTo>
                <a:lnTo>
                  <a:pt x="1" y="491457"/>
                </a:lnTo>
                <a:close/>
              </a:path>
            </a:pathLst>
          </a:cu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b="1">
              <a:solidFill>
                <a:sysClr val="windowText" lastClr="000000"/>
              </a:solidFill>
              <a:latin typeface="Raleway" pitchFamily="2"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PH" sz="1400" b="1" i="0" baseline="0">
                <a:solidFill>
                  <a:sysClr val="windowText" lastClr="000000"/>
                </a:solidFill>
                <a:effectLst/>
                <a:latin typeface="Raleway" pitchFamily="2" charset="0"/>
                <a:ea typeface="+mn-ea"/>
                <a:cs typeface="+mn-cs"/>
              </a:rPr>
              <a:t> Social Media Usage vs. Effectiveness</a:t>
            </a:r>
            <a:endParaRPr lang="en-PH" sz="1400" b="1">
              <a:solidFill>
                <a:sysClr val="windowText" lastClr="000000"/>
              </a:solidFill>
              <a:effectLst/>
              <a:latin typeface="Raleway" pitchFamily="2" charset="0"/>
            </a:endParaRPr>
          </a:p>
          <a:p>
            <a:pPr algn="l"/>
            <a:endParaRPr lang="en-PH" sz="1000">
              <a:solidFill>
                <a:schemeClr val="tx1">
                  <a:lumMod val="65000"/>
                  <a:lumOff val="35000"/>
                </a:schemeClr>
              </a:solidFill>
              <a:latin typeface="Inter"/>
            </a:endParaRPr>
          </a:p>
        </xdr:txBody>
      </xdr:sp>
      <xdr:graphicFrame macro="">
        <xdr:nvGraphicFramePr>
          <xdr:cNvPr id="56" name="Chart 55">
            <a:extLst>
              <a:ext uri="{FF2B5EF4-FFF2-40B4-BE49-F238E27FC236}">
                <a16:creationId xmlns:a16="http://schemas.microsoft.com/office/drawing/2014/main" id="{171C5265-9A84-4452-86AB-6B7B60FC866F}"/>
              </a:ext>
            </a:extLst>
          </xdr:cNvPr>
          <xdr:cNvGraphicFramePr>
            <a:graphicFrameLocks/>
          </xdr:cNvGraphicFramePr>
        </xdr:nvGraphicFramePr>
        <xdr:xfrm>
          <a:off x="1248925" y="5223722"/>
          <a:ext cx="4353385" cy="2170898"/>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10</xdr:col>
      <xdr:colOff>435429</xdr:colOff>
      <xdr:row>22</xdr:row>
      <xdr:rowOff>125998</xdr:rowOff>
    </xdr:from>
    <xdr:to>
      <xdr:col>17</xdr:col>
      <xdr:colOff>231322</xdr:colOff>
      <xdr:row>41</xdr:row>
      <xdr:rowOff>26276</xdr:rowOff>
    </xdr:to>
    <xdr:grpSp>
      <xdr:nvGrpSpPr>
        <xdr:cNvPr id="61" name="Group 60">
          <a:extLst>
            <a:ext uri="{FF2B5EF4-FFF2-40B4-BE49-F238E27FC236}">
              <a16:creationId xmlns:a16="http://schemas.microsoft.com/office/drawing/2014/main" id="{D047D2C7-A9A2-2E24-E1C8-C8FA97CC75FE}"/>
            </a:ext>
          </a:extLst>
        </xdr:cNvPr>
        <xdr:cNvGrpSpPr/>
      </xdr:nvGrpSpPr>
      <xdr:grpSpPr>
        <a:xfrm>
          <a:off x="6596280" y="4665572"/>
          <a:ext cx="4108489" cy="3904832"/>
          <a:chOff x="6090059" y="4034323"/>
          <a:chExt cx="6708669" cy="3424925"/>
        </a:xfrm>
      </xdr:grpSpPr>
      <xdr:sp macro="" textlink="">
        <xdr:nvSpPr>
          <xdr:cNvPr id="57" name="Rectangle: Rounded Corners 50">
            <a:extLst>
              <a:ext uri="{FF2B5EF4-FFF2-40B4-BE49-F238E27FC236}">
                <a16:creationId xmlns:a16="http://schemas.microsoft.com/office/drawing/2014/main" id="{02E716DA-11A9-A2BF-13B8-7B5594156ABA}"/>
              </a:ext>
            </a:extLst>
          </xdr:cNvPr>
          <xdr:cNvSpPr/>
        </xdr:nvSpPr>
        <xdr:spPr>
          <a:xfrm>
            <a:off x="6090059" y="4034323"/>
            <a:ext cx="6708669" cy="3424925"/>
          </a:xfrm>
          <a:custGeom>
            <a:avLst/>
            <a:gdLst>
              <a:gd name="connsiteX0" fmla="*/ 0 w 4803145"/>
              <a:gd name="connsiteY0" fmla="*/ 491457 h 2948686"/>
              <a:gd name="connsiteX1" fmla="*/ 491457 w 4803145"/>
              <a:gd name="connsiteY1" fmla="*/ 0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491457 w 4803145"/>
              <a:gd name="connsiteY6" fmla="*/ 2948686 h 2948686"/>
              <a:gd name="connsiteX7" fmla="*/ 0 w 4803145"/>
              <a:gd name="connsiteY7" fmla="*/ 2457229 h 2948686"/>
              <a:gd name="connsiteX8" fmla="*/ 0 w 4803145"/>
              <a:gd name="connsiteY8" fmla="*/ 491457 h 2948686"/>
              <a:gd name="connsiteX0" fmla="*/ 0 w 4803145"/>
              <a:gd name="connsiteY0" fmla="*/ 491457 h 2948686"/>
              <a:gd name="connsiteX1" fmla="*/ 277725 w 4803145"/>
              <a:gd name="connsiteY1" fmla="*/ 18585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491457 w 4803145"/>
              <a:gd name="connsiteY6" fmla="*/ 2948686 h 2948686"/>
              <a:gd name="connsiteX7" fmla="*/ 0 w 4803145"/>
              <a:gd name="connsiteY7" fmla="*/ 2457229 h 2948686"/>
              <a:gd name="connsiteX8" fmla="*/ 0 w 4803145"/>
              <a:gd name="connsiteY8" fmla="*/ 491457 h 2948686"/>
              <a:gd name="connsiteX0" fmla="*/ 0 w 4803145"/>
              <a:gd name="connsiteY0" fmla="*/ 491457 h 2948686"/>
              <a:gd name="connsiteX1" fmla="*/ 277725 w 4803145"/>
              <a:gd name="connsiteY1" fmla="*/ 18585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296311 w 4803145"/>
              <a:gd name="connsiteY6" fmla="*/ 2920808 h 2948686"/>
              <a:gd name="connsiteX7" fmla="*/ 0 w 4803145"/>
              <a:gd name="connsiteY7" fmla="*/ 2457229 h 2948686"/>
              <a:gd name="connsiteX8" fmla="*/ 0 w 4803145"/>
              <a:gd name="connsiteY8" fmla="*/ 491457 h 2948686"/>
              <a:gd name="connsiteX0" fmla="*/ 0 w 4803229"/>
              <a:gd name="connsiteY0" fmla="*/ 491457 h 2957979"/>
              <a:gd name="connsiteX1" fmla="*/ 277725 w 4803229"/>
              <a:gd name="connsiteY1" fmla="*/ 18585 h 2957979"/>
              <a:gd name="connsiteX2" fmla="*/ 4311688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277725 w 4803229"/>
              <a:gd name="connsiteY1" fmla="*/ 18585 h 2957979"/>
              <a:gd name="connsiteX2" fmla="*/ 4516127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1 w 4803230"/>
              <a:gd name="connsiteY0" fmla="*/ 491457 h 2957979"/>
              <a:gd name="connsiteX1" fmla="*/ 268433 w 4803230"/>
              <a:gd name="connsiteY1" fmla="*/ 18585 h 2957979"/>
              <a:gd name="connsiteX2" fmla="*/ 4516128 w 4803230"/>
              <a:gd name="connsiteY2" fmla="*/ 0 h 2957979"/>
              <a:gd name="connsiteX3" fmla="*/ 4803146 w 4803230"/>
              <a:gd name="connsiteY3" fmla="*/ 491457 h 2957979"/>
              <a:gd name="connsiteX4" fmla="*/ 4803146 w 4803230"/>
              <a:gd name="connsiteY4" fmla="*/ 2457229 h 2957979"/>
              <a:gd name="connsiteX5" fmla="*/ 4544006 w 4803230"/>
              <a:gd name="connsiteY5" fmla="*/ 2957979 h 2957979"/>
              <a:gd name="connsiteX6" fmla="*/ 296312 w 4803230"/>
              <a:gd name="connsiteY6" fmla="*/ 2920808 h 2957979"/>
              <a:gd name="connsiteX7" fmla="*/ 1 w 4803230"/>
              <a:gd name="connsiteY7" fmla="*/ 2457229 h 2957979"/>
              <a:gd name="connsiteX8" fmla="*/ 1 w 4803230"/>
              <a:gd name="connsiteY8" fmla="*/ 491457 h 2957979"/>
              <a:gd name="connsiteX0" fmla="*/ 0 w 4803229"/>
              <a:gd name="connsiteY0" fmla="*/ 491457 h 2957979"/>
              <a:gd name="connsiteX1" fmla="*/ 305602 w 4803229"/>
              <a:gd name="connsiteY1" fmla="*/ 27878 h 2957979"/>
              <a:gd name="connsiteX2" fmla="*/ 4516127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05602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24187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24187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2094 w 4805323"/>
              <a:gd name="connsiteY0" fmla="*/ 491457 h 2957979"/>
              <a:gd name="connsiteX1" fmla="*/ 326281 w 4805323"/>
              <a:gd name="connsiteY1" fmla="*/ 27878 h 2957979"/>
              <a:gd name="connsiteX2" fmla="*/ 4508929 w 4805323"/>
              <a:gd name="connsiteY2" fmla="*/ 0 h 2957979"/>
              <a:gd name="connsiteX3" fmla="*/ 4805239 w 4805323"/>
              <a:gd name="connsiteY3" fmla="*/ 491457 h 2957979"/>
              <a:gd name="connsiteX4" fmla="*/ 4805239 w 4805323"/>
              <a:gd name="connsiteY4" fmla="*/ 2457229 h 2957979"/>
              <a:gd name="connsiteX5" fmla="*/ 4546099 w 4805323"/>
              <a:gd name="connsiteY5" fmla="*/ 2957979 h 2957979"/>
              <a:gd name="connsiteX6" fmla="*/ 233357 w 4805323"/>
              <a:gd name="connsiteY6" fmla="*/ 2939393 h 2957979"/>
              <a:gd name="connsiteX7" fmla="*/ 2094 w 4805323"/>
              <a:gd name="connsiteY7" fmla="*/ 2457229 h 2957979"/>
              <a:gd name="connsiteX8" fmla="*/ 2094 w 4805323"/>
              <a:gd name="connsiteY8" fmla="*/ 491457 h 2957979"/>
              <a:gd name="connsiteX0" fmla="*/ 2094 w 4806299"/>
              <a:gd name="connsiteY0" fmla="*/ 491457 h 2957979"/>
              <a:gd name="connsiteX1" fmla="*/ 326281 w 4806299"/>
              <a:gd name="connsiteY1" fmla="*/ 27878 h 2957979"/>
              <a:gd name="connsiteX2" fmla="*/ 4508929 w 4806299"/>
              <a:gd name="connsiteY2" fmla="*/ 0 h 2957979"/>
              <a:gd name="connsiteX3" fmla="*/ 4805239 w 4806299"/>
              <a:gd name="connsiteY3" fmla="*/ 491457 h 2957979"/>
              <a:gd name="connsiteX4" fmla="*/ 4805239 w 4806299"/>
              <a:gd name="connsiteY4" fmla="*/ 2457229 h 2957979"/>
              <a:gd name="connsiteX5" fmla="*/ 4564684 w 4806299"/>
              <a:gd name="connsiteY5" fmla="*/ 2957979 h 2957979"/>
              <a:gd name="connsiteX6" fmla="*/ 233357 w 4806299"/>
              <a:gd name="connsiteY6" fmla="*/ 2939393 h 2957979"/>
              <a:gd name="connsiteX7" fmla="*/ 2094 w 4806299"/>
              <a:gd name="connsiteY7" fmla="*/ 2457229 h 2957979"/>
              <a:gd name="connsiteX8" fmla="*/ 2094 w 4806299"/>
              <a:gd name="connsiteY8" fmla="*/ 491457 h 2957979"/>
              <a:gd name="connsiteX0" fmla="*/ 1 w 4804206"/>
              <a:gd name="connsiteY0" fmla="*/ 491457 h 2957979"/>
              <a:gd name="connsiteX1" fmla="*/ 324188 w 4804206"/>
              <a:gd name="connsiteY1" fmla="*/ 27878 h 2957979"/>
              <a:gd name="connsiteX2" fmla="*/ 4506836 w 4804206"/>
              <a:gd name="connsiteY2" fmla="*/ 0 h 2957979"/>
              <a:gd name="connsiteX3" fmla="*/ 4803146 w 4804206"/>
              <a:gd name="connsiteY3" fmla="*/ 491457 h 2957979"/>
              <a:gd name="connsiteX4" fmla="*/ 4803146 w 4804206"/>
              <a:gd name="connsiteY4" fmla="*/ 2457229 h 2957979"/>
              <a:gd name="connsiteX5" fmla="*/ 4562591 w 4804206"/>
              <a:gd name="connsiteY5" fmla="*/ 2957979 h 2957979"/>
              <a:gd name="connsiteX6" fmla="*/ 296313 w 4804206"/>
              <a:gd name="connsiteY6" fmla="*/ 2939393 h 2957979"/>
              <a:gd name="connsiteX7" fmla="*/ 1 w 4804206"/>
              <a:gd name="connsiteY7" fmla="*/ 2457229 h 2957979"/>
              <a:gd name="connsiteX8" fmla="*/ 1 w 4804206"/>
              <a:gd name="connsiteY8" fmla="*/ 491457 h 2957979"/>
              <a:gd name="connsiteX0" fmla="*/ 3382 w 4807587"/>
              <a:gd name="connsiteY0" fmla="*/ 491457 h 2957979"/>
              <a:gd name="connsiteX1" fmla="*/ 276195 w 4807587"/>
              <a:gd name="connsiteY1" fmla="*/ 37896 h 2957979"/>
              <a:gd name="connsiteX2" fmla="*/ 4510217 w 4807587"/>
              <a:gd name="connsiteY2" fmla="*/ 0 h 2957979"/>
              <a:gd name="connsiteX3" fmla="*/ 4806527 w 4807587"/>
              <a:gd name="connsiteY3" fmla="*/ 491457 h 2957979"/>
              <a:gd name="connsiteX4" fmla="*/ 4806527 w 4807587"/>
              <a:gd name="connsiteY4" fmla="*/ 2457229 h 2957979"/>
              <a:gd name="connsiteX5" fmla="*/ 4565972 w 4807587"/>
              <a:gd name="connsiteY5" fmla="*/ 2957979 h 2957979"/>
              <a:gd name="connsiteX6" fmla="*/ 299694 w 4807587"/>
              <a:gd name="connsiteY6" fmla="*/ 2939393 h 2957979"/>
              <a:gd name="connsiteX7" fmla="*/ 3382 w 4807587"/>
              <a:gd name="connsiteY7" fmla="*/ 2457229 h 2957979"/>
              <a:gd name="connsiteX8" fmla="*/ 3382 w 4807587"/>
              <a:gd name="connsiteY8" fmla="*/ 491457 h 2957979"/>
              <a:gd name="connsiteX0" fmla="*/ 3382 w 4807587"/>
              <a:gd name="connsiteY0" fmla="*/ 491457 h 2957979"/>
              <a:gd name="connsiteX1" fmla="*/ 276195 w 4807587"/>
              <a:gd name="connsiteY1" fmla="*/ 37896 h 2957979"/>
              <a:gd name="connsiteX2" fmla="*/ 4510217 w 4807587"/>
              <a:gd name="connsiteY2" fmla="*/ 0 h 2957979"/>
              <a:gd name="connsiteX3" fmla="*/ 4806527 w 4807587"/>
              <a:gd name="connsiteY3" fmla="*/ 491457 h 2957979"/>
              <a:gd name="connsiteX4" fmla="*/ 4806527 w 4807587"/>
              <a:gd name="connsiteY4" fmla="*/ 2457229 h 2957979"/>
              <a:gd name="connsiteX5" fmla="*/ 4565972 w 4807587"/>
              <a:gd name="connsiteY5" fmla="*/ 2957979 h 2957979"/>
              <a:gd name="connsiteX6" fmla="*/ 312538 w 4807587"/>
              <a:gd name="connsiteY6" fmla="*/ 2939394 h 2957979"/>
              <a:gd name="connsiteX7" fmla="*/ 3382 w 4807587"/>
              <a:gd name="connsiteY7" fmla="*/ 2457229 h 2957979"/>
              <a:gd name="connsiteX8" fmla="*/ 3382 w 4807587"/>
              <a:gd name="connsiteY8" fmla="*/ 491457 h 2957979"/>
              <a:gd name="connsiteX0" fmla="*/ 3382 w 4807587"/>
              <a:gd name="connsiteY0" fmla="*/ 491457 h 2957979"/>
              <a:gd name="connsiteX1" fmla="*/ 276195 w 4807587"/>
              <a:gd name="connsiteY1" fmla="*/ 37896 h 2957979"/>
              <a:gd name="connsiteX2" fmla="*/ 4510217 w 4807587"/>
              <a:gd name="connsiteY2" fmla="*/ 0 h 2957979"/>
              <a:gd name="connsiteX3" fmla="*/ 4806527 w 4807587"/>
              <a:gd name="connsiteY3" fmla="*/ 491457 h 2957979"/>
              <a:gd name="connsiteX4" fmla="*/ 4806527 w 4807587"/>
              <a:gd name="connsiteY4" fmla="*/ 2457229 h 2957979"/>
              <a:gd name="connsiteX5" fmla="*/ 4565972 w 4807587"/>
              <a:gd name="connsiteY5" fmla="*/ 2957979 h 2957979"/>
              <a:gd name="connsiteX6" fmla="*/ 312538 w 4807587"/>
              <a:gd name="connsiteY6" fmla="*/ 2939394 h 2957979"/>
              <a:gd name="connsiteX7" fmla="*/ 16226 w 4807587"/>
              <a:gd name="connsiteY7" fmla="*/ 2567427 h 2957979"/>
              <a:gd name="connsiteX8" fmla="*/ 3382 w 4807587"/>
              <a:gd name="connsiteY8" fmla="*/ 491457 h 2957979"/>
              <a:gd name="connsiteX0" fmla="*/ 3382 w 4807587"/>
              <a:gd name="connsiteY0" fmla="*/ 491457 h 2939394"/>
              <a:gd name="connsiteX1" fmla="*/ 276195 w 4807587"/>
              <a:gd name="connsiteY1" fmla="*/ 37896 h 2939394"/>
              <a:gd name="connsiteX2" fmla="*/ 4510217 w 4807587"/>
              <a:gd name="connsiteY2" fmla="*/ 0 h 2939394"/>
              <a:gd name="connsiteX3" fmla="*/ 4806527 w 4807587"/>
              <a:gd name="connsiteY3" fmla="*/ 491457 h 2939394"/>
              <a:gd name="connsiteX4" fmla="*/ 4806527 w 4807587"/>
              <a:gd name="connsiteY4" fmla="*/ 2457229 h 2939394"/>
              <a:gd name="connsiteX5" fmla="*/ 4565973 w 4807587"/>
              <a:gd name="connsiteY5" fmla="*/ 2937944 h 2939394"/>
              <a:gd name="connsiteX6" fmla="*/ 312538 w 4807587"/>
              <a:gd name="connsiteY6" fmla="*/ 2939394 h 2939394"/>
              <a:gd name="connsiteX7" fmla="*/ 16226 w 4807587"/>
              <a:gd name="connsiteY7" fmla="*/ 2567427 h 2939394"/>
              <a:gd name="connsiteX8" fmla="*/ 3382 w 4807587"/>
              <a:gd name="connsiteY8" fmla="*/ 491457 h 29393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07587" h="2939394">
                <a:moveTo>
                  <a:pt x="3382" y="491457"/>
                </a:moveTo>
                <a:cubicBezTo>
                  <a:pt x="3382" y="220033"/>
                  <a:pt x="-50985" y="28603"/>
                  <a:pt x="276195" y="37896"/>
                </a:cubicBezTo>
                <a:lnTo>
                  <a:pt x="4510217" y="0"/>
                </a:lnTo>
                <a:cubicBezTo>
                  <a:pt x="4781641" y="0"/>
                  <a:pt x="4806527" y="220033"/>
                  <a:pt x="4806527" y="491457"/>
                </a:cubicBezTo>
                <a:lnTo>
                  <a:pt x="4806527" y="2457229"/>
                </a:lnTo>
                <a:cubicBezTo>
                  <a:pt x="4806527" y="2728653"/>
                  <a:pt x="4837397" y="2937944"/>
                  <a:pt x="4565973" y="2937944"/>
                </a:cubicBezTo>
                <a:lnTo>
                  <a:pt x="312538" y="2939394"/>
                </a:lnTo>
                <a:cubicBezTo>
                  <a:pt x="41114" y="2939394"/>
                  <a:pt x="16226" y="2838851"/>
                  <a:pt x="16226" y="2567427"/>
                </a:cubicBezTo>
                <a:cubicBezTo>
                  <a:pt x="11945" y="1875437"/>
                  <a:pt x="7663" y="1183447"/>
                  <a:pt x="3382" y="491457"/>
                </a:cubicBezTo>
                <a:close/>
              </a:path>
            </a:pathLst>
          </a:cu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b="1">
              <a:solidFill>
                <a:sysClr val="windowText" lastClr="000000"/>
              </a:solidFill>
              <a:latin typeface="Raleway" pitchFamily="2"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PH" sz="1400" b="1" i="0" baseline="0">
                <a:solidFill>
                  <a:sysClr val="windowText" lastClr="000000"/>
                </a:solidFill>
                <a:effectLst/>
                <a:latin typeface="Raleway" pitchFamily="2" charset="0"/>
                <a:ea typeface="+mn-ea"/>
                <a:cs typeface="+mn-cs"/>
              </a:rPr>
              <a:t>  Relationship between Engagement and Purchase Frequency</a:t>
            </a:r>
            <a:endParaRPr lang="en-PH" sz="1400" b="1">
              <a:solidFill>
                <a:sysClr val="windowText" lastClr="000000"/>
              </a:solidFill>
              <a:effectLst/>
              <a:latin typeface="Raleway" pitchFamily="2" charset="0"/>
            </a:endParaRPr>
          </a:p>
          <a:p>
            <a:pPr algn="l"/>
            <a:endParaRPr lang="en-PH" sz="1000">
              <a:solidFill>
                <a:schemeClr val="tx1">
                  <a:lumMod val="65000"/>
                  <a:lumOff val="35000"/>
                </a:schemeClr>
              </a:solidFill>
              <a:latin typeface="Inter"/>
            </a:endParaRPr>
          </a:p>
        </xdr:txBody>
      </xdr:sp>
      <xdr:graphicFrame macro="">
        <xdr:nvGraphicFramePr>
          <xdr:cNvPr id="59" name="Chart 58">
            <a:extLst>
              <a:ext uri="{FF2B5EF4-FFF2-40B4-BE49-F238E27FC236}">
                <a16:creationId xmlns:a16="http://schemas.microsoft.com/office/drawing/2014/main" id="{92B5B707-137F-49E2-B890-5A2C183D84C4}"/>
              </a:ext>
            </a:extLst>
          </xdr:cNvPr>
          <xdr:cNvGraphicFramePr>
            <a:graphicFrameLocks/>
          </xdr:cNvGraphicFramePr>
        </xdr:nvGraphicFramePr>
        <xdr:xfrm>
          <a:off x="6534220" y="4606933"/>
          <a:ext cx="5807843" cy="2762173"/>
        </xdr:xfrm>
        <a:graphic>
          <a:graphicData uri="http://schemas.openxmlformats.org/drawingml/2006/chart">
            <c:chart xmlns:c="http://schemas.openxmlformats.org/drawingml/2006/chart" xmlns:r="http://schemas.openxmlformats.org/officeDocument/2006/relationships" r:id="rId27"/>
          </a:graphicData>
        </a:graphic>
      </xdr:graphicFrame>
    </xdr:grpSp>
    <xdr:clientData/>
  </xdr:twoCellAnchor>
  <xdr:twoCellAnchor>
    <xdr:from>
      <xdr:col>17</xdr:col>
      <xdr:colOff>543106</xdr:colOff>
      <xdr:row>22</xdr:row>
      <xdr:rowOff>90557</xdr:rowOff>
    </xdr:from>
    <xdr:to>
      <xdr:col>23</xdr:col>
      <xdr:colOff>565400</xdr:colOff>
      <xdr:row>40</xdr:row>
      <xdr:rowOff>182147</xdr:rowOff>
    </xdr:to>
    <xdr:grpSp>
      <xdr:nvGrpSpPr>
        <xdr:cNvPr id="4103" name="Group 4102">
          <a:extLst>
            <a:ext uri="{FF2B5EF4-FFF2-40B4-BE49-F238E27FC236}">
              <a16:creationId xmlns:a16="http://schemas.microsoft.com/office/drawing/2014/main" id="{9FBF5A51-E78B-1E71-46B9-3F1B2C2D4168}"/>
            </a:ext>
          </a:extLst>
        </xdr:cNvPr>
        <xdr:cNvGrpSpPr/>
      </xdr:nvGrpSpPr>
      <xdr:grpSpPr>
        <a:xfrm>
          <a:off x="11016553" y="4630131"/>
          <a:ext cx="3718804" cy="3885378"/>
          <a:chOff x="13136751" y="3928861"/>
          <a:chExt cx="3172291" cy="3367668"/>
        </a:xfrm>
      </xdr:grpSpPr>
      <xdr:sp macro="" textlink="">
        <xdr:nvSpPr>
          <xdr:cNvPr id="63" name="Rectangle: Rounded Corners 50">
            <a:extLst>
              <a:ext uri="{FF2B5EF4-FFF2-40B4-BE49-F238E27FC236}">
                <a16:creationId xmlns:a16="http://schemas.microsoft.com/office/drawing/2014/main" id="{B0E96416-B8AC-3D07-C37B-D6E66BA0FC4D}"/>
              </a:ext>
            </a:extLst>
          </xdr:cNvPr>
          <xdr:cNvSpPr/>
        </xdr:nvSpPr>
        <xdr:spPr>
          <a:xfrm>
            <a:off x="13136751" y="3928861"/>
            <a:ext cx="3172291" cy="3367668"/>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b="1">
              <a:solidFill>
                <a:sysClr val="windowText" lastClr="000000"/>
              </a:solidFill>
              <a:latin typeface="Raleway" pitchFamily="2"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PH" sz="1400" b="1" i="0" baseline="0">
                <a:solidFill>
                  <a:sysClr val="windowText" lastClr="000000"/>
                </a:solidFill>
                <a:effectLst/>
                <a:latin typeface="Raleway" pitchFamily="2" charset="0"/>
                <a:ea typeface="+mn-ea"/>
                <a:cs typeface="+mn-cs"/>
              </a:rPr>
              <a:t>Distribution of Social Media Usage Time</a:t>
            </a:r>
            <a:endParaRPr lang="en-PH" sz="1000">
              <a:solidFill>
                <a:schemeClr val="tx1">
                  <a:lumMod val="65000"/>
                  <a:lumOff val="35000"/>
                </a:schemeClr>
              </a:solidFill>
              <a:latin typeface="Inter"/>
            </a:endParaRPr>
          </a:p>
        </xdr:txBody>
      </xdr:sp>
      <xdr:graphicFrame macro="">
        <xdr:nvGraphicFramePr>
          <xdr:cNvPr id="4101" name="Chart 4100">
            <a:extLst>
              <a:ext uri="{FF2B5EF4-FFF2-40B4-BE49-F238E27FC236}">
                <a16:creationId xmlns:a16="http://schemas.microsoft.com/office/drawing/2014/main" id="{18A3334E-AA3F-4692-96B9-6A44FFEE5714}"/>
              </a:ext>
            </a:extLst>
          </xdr:cNvPr>
          <xdr:cNvGraphicFramePr>
            <a:graphicFrameLocks/>
          </xdr:cNvGraphicFramePr>
        </xdr:nvGraphicFramePr>
        <xdr:xfrm>
          <a:off x="13183632" y="4777441"/>
          <a:ext cx="3068595" cy="2238189"/>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xdr:from>
      <xdr:col>24</xdr:col>
      <xdr:colOff>219719</xdr:colOff>
      <xdr:row>22</xdr:row>
      <xdr:rowOff>176893</xdr:rowOff>
    </xdr:from>
    <xdr:to>
      <xdr:col>30</xdr:col>
      <xdr:colOff>251053</xdr:colOff>
      <xdr:row>40</xdr:row>
      <xdr:rowOff>106043</xdr:rowOff>
    </xdr:to>
    <xdr:grpSp>
      <xdr:nvGrpSpPr>
        <xdr:cNvPr id="4113" name="Group 4112">
          <a:extLst>
            <a:ext uri="{FF2B5EF4-FFF2-40B4-BE49-F238E27FC236}">
              <a16:creationId xmlns:a16="http://schemas.microsoft.com/office/drawing/2014/main" id="{BA9CBBDB-75CB-7F54-4D30-9CCA0FF97DFE}"/>
            </a:ext>
          </a:extLst>
        </xdr:cNvPr>
        <xdr:cNvGrpSpPr/>
      </xdr:nvGrpSpPr>
      <xdr:grpSpPr>
        <a:xfrm>
          <a:off x="15005762" y="4716467"/>
          <a:ext cx="3727844" cy="3722938"/>
          <a:chOff x="16658027" y="4066415"/>
          <a:chExt cx="3353285" cy="3456031"/>
        </a:xfrm>
      </xdr:grpSpPr>
      <xdr:sp macro="" textlink="">
        <xdr:nvSpPr>
          <xdr:cNvPr id="4102" name="Rectangle: Rounded Corners 50">
            <a:extLst>
              <a:ext uri="{FF2B5EF4-FFF2-40B4-BE49-F238E27FC236}">
                <a16:creationId xmlns:a16="http://schemas.microsoft.com/office/drawing/2014/main" id="{1B5007CD-3270-CC58-EEAE-0164F6E89764}"/>
              </a:ext>
            </a:extLst>
          </xdr:cNvPr>
          <xdr:cNvSpPr/>
        </xdr:nvSpPr>
        <xdr:spPr>
          <a:xfrm>
            <a:off x="16687207" y="4066415"/>
            <a:ext cx="3183023" cy="3456031"/>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b="1">
              <a:solidFill>
                <a:sysClr val="windowText" lastClr="000000"/>
              </a:solidFill>
              <a:latin typeface="Raleway" pitchFamily="2"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PH" sz="1400" b="1">
                <a:solidFill>
                  <a:sysClr val="windowText" lastClr="000000"/>
                </a:solidFill>
                <a:latin typeface="Raleway" pitchFamily="2" charset="0"/>
              </a:rPr>
              <a:t>Key Factors Influencing Purchase Decisions</a:t>
            </a:r>
            <a:endParaRPr lang="en-PH" sz="1000" b="1">
              <a:solidFill>
                <a:sysClr val="windowText" lastClr="000000"/>
              </a:solidFill>
              <a:latin typeface="Raleway" pitchFamily="2" charset="0"/>
            </a:endParaRPr>
          </a:p>
        </xdr:txBody>
      </xdr:sp>
      <xdr:graphicFrame macro="">
        <xdr:nvGraphicFramePr>
          <xdr:cNvPr id="4105" name="Chart 4104">
            <a:extLst>
              <a:ext uri="{FF2B5EF4-FFF2-40B4-BE49-F238E27FC236}">
                <a16:creationId xmlns:a16="http://schemas.microsoft.com/office/drawing/2014/main" id="{0435B20F-CC3F-4CF7-A43F-1F7F43260005}"/>
              </a:ext>
            </a:extLst>
          </xdr:cNvPr>
          <xdr:cNvGraphicFramePr>
            <a:graphicFrameLocks/>
          </xdr:cNvGraphicFramePr>
        </xdr:nvGraphicFramePr>
        <xdr:xfrm>
          <a:off x="16658027" y="4891716"/>
          <a:ext cx="3353285" cy="2547906"/>
        </xdr:xfrm>
        <a:graphic>
          <a:graphicData uri="http://schemas.openxmlformats.org/drawingml/2006/chart">
            <c:chart xmlns:c="http://schemas.openxmlformats.org/drawingml/2006/chart" xmlns:r="http://schemas.openxmlformats.org/officeDocument/2006/relationships" r:id="rId29"/>
          </a:graphicData>
        </a:graphic>
      </xdr:graphicFrame>
    </xdr:grpSp>
    <xdr:clientData/>
  </xdr:twoCellAnchor>
  <xdr:twoCellAnchor>
    <xdr:from>
      <xdr:col>12</xdr:col>
      <xdr:colOff>394607</xdr:colOff>
      <xdr:row>42</xdr:row>
      <xdr:rowOff>79342</xdr:rowOff>
    </xdr:from>
    <xdr:to>
      <xdr:col>21</xdr:col>
      <xdr:colOff>24549</xdr:colOff>
      <xdr:row>58</xdr:row>
      <xdr:rowOff>18246</xdr:rowOff>
    </xdr:to>
    <xdr:grpSp>
      <xdr:nvGrpSpPr>
        <xdr:cNvPr id="4114" name="Group 4113">
          <a:extLst>
            <a:ext uri="{FF2B5EF4-FFF2-40B4-BE49-F238E27FC236}">
              <a16:creationId xmlns:a16="http://schemas.microsoft.com/office/drawing/2014/main" id="{AAC9AA29-FBB3-43CA-D1C5-39BC9D85314D}"/>
            </a:ext>
          </a:extLst>
        </xdr:cNvPr>
        <xdr:cNvGrpSpPr/>
      </xdr:nvGrpSpPr>
      <xdr:grpSpPr>
        <a:xfrm>
          <a:off x="7787628" y="8834236"/>
          <a:ext cx="5174708" cy="3311159"/>
          <a:chOff x="1148968" y="7879551"/>
          <a:chExt cx="4816265" cy="2858115"/>
        </a:xfrm>
      </xdr:grpSpPr>
      <xdr:sp macro="" textlink="">
        <xdr:nvSpPr>
          <xdr:cNvPr id="4107" name="Rectangle: Rounded Corners 50">
            <a:extLst>
              <a:ext uri="{FF2B5EF4-FFF2-40B4-BE49-F238E27FC236}">
                <a16:creationId xmlns:a16="http://schemas.microsoft.com/office/drawing/2014/main" id="{37922561-6F7C-690C-6046-6FE26E88D4D2}"/>
              </a:ext>
            </a:extLst>
          </xdr:cNvPr>
          <xdr:cNvSpPr/>
        </xdr:nvSpPr>
        <xdr:spPr>
          <a:xfrm>
            <a:off x="1148968" y="7879551"/>
            <a:ext cx="4816265" cy="2857069"/>
          </a:xfrm>
          <a:custGeom>
            <a:avLst/>
            <a:gdLst>
              <a:gd name="connsiteX0" fmla="*/ 0 w 4803145"/>
              <a:gd name="connsiteY0" fmla="*/ 491457 h 2948686"/>
              <a:gd name="connsiteX1" fmla="*/ 491457 w 4803145"/>
              <a:gd name="connsiteY1" fmla="*/ 0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491457 w 4803145"/>
              <a:gd name="connsiteY6" fmla="*/ 2948686 h 2948686"/>
              <a:gd name="connsiteX7" fmla="*/ 0 w 4803145"/>
              <a:gd name="connsiteY7" fmla="*/ 2457229 h 2948686"/>
              <a:gd name="connsiteX8" fmla="*/ 0 w 4803145"/>
              <a:gd name="connsiteY8" fmla="*/ 491457 h 2948686"/>
              <a:gd name="connsiteX0" fmla="*/ 0 w 4803145"/>
              <a:gd name="connsiteY0" fmla="*/ 491457 h 2948686"/>
              <a:gd name="connsiteX1" fmla="*/ 277725 w 4803145"/>
              <a:gd name="connsiteY1" fmla="*/ 18585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491457 w 4803145"/>
              <a:gd name="connsiteY6" fmla="*/ 2948686 h 2948686"/>
              <a:gd name="connsiteX7" fmla="*/ 0 w 4803145"/>
              <a:gd name="connsiteY7" fmla="*/ 2457229 h 2948686"/>
              <a:gd name="connsiteX8" fmla="*/ 0 w 4803145"/>
              <a:gd name="connsiteY8" fmla="*/ 491457 h 2948686"/>
              <a:gd name="connsiteX0" fmla="*/ 0 w 4803145"/>
              <a:gd name="connsiteY0" fmla="*/ 491457 h 2948686"/>
              <a:gd name="connsiteX1" fmla="*/ 277725 w 4803145"/>
              <a:gd name="connsiteY1" fmla="*/ 18585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296311 w 4803145"/>
              <a:gd name="connsiteY6" fmla="*/ 2920808 h 2948686"/>
              <a:gd name="connsiteX7" fmla="*/ 0 w 4803145"/>
              <a:gd name="connsiteY7" fmla="*/ 2457229 h 2948686"/>
              <a:gd name="connsiteX8" fmla="*/ 0 w 4803145"/>
              <a:gd name="connsiteY8" fmla="*/ 491457 h 2948686"/>
              <a:gd name="connsiteX0" fmla="*/ 0 w 4803229"/>
              <a:gd name="connsiteY0" fmla="*/ 491457 h 2957979"/>
              <a:gd name="connsiteX1" fmla="*/ 277725 w 4803229"/>
              <a:gd name="connsiteY1" fmla="*/ 18585 h 2957979"/>
              <a:gd name="connsiteX2" fmla="*/ 4311688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277725 w 4803229"/>
              <a:gd name="connsiteY1" fmla="*/ 18585 h 2957979"/>
              <a:gd name="connsiteX2" fmla="*/ 4516127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1 w 4803230"/>
              <a:gd name="connsiteY0" fmla="*/ 491457 h 2957979"/>
              <a:gd name="connsiteX1" fmla="*/ 268433 w 4803230"/>
              <a:gd name="connsiteY1" fmla="*/ 18585 h 2957979"/>
              <a:gd name="connsiteX2" fmla="*/ 4516128 w 4803230"/>
              <a:gd name="connsiteY2" fmla="*/ 0 h 2957979"/>
              <a:gd name="connsiteX3" fmla="*/ 4803146 w 4803230"/>
              <a:gd name="connsiteY3" fmla="*/ 491457 h 2957979"/>
              <a:gd name="connsiteX4" fmla="*/ 4803146 w 4803230"/>
              <a:gd name="connsiteY4" fmla="*/ 2457229 h 2957979"/>
              <a:gd name="connsiteX5" fmla="*/ 4544006 w 4803230"/>
              <a:gd name="connsiteY5" fmla="*/ 2957979 h 2957979"/>
              <a:gd name="connsiteX6" fmla="*/ 296312 w 4803230"/>
              <a:gd name="connsiteY6" fmla="*/ 2920808 h 2957979"/>
              <a:gd name="connsiteX7" fmla="*/ 1 w 4803230"/>
              <a:gd name="connsiteY7" fmla="*/ 2457229 h 2957979"/>
              <a:gd name="connsiteX8" fmla="*/ 1 w 4803230"/>
              <a:gd name="connsiteY8" fmla="*/ 491457 h 2957979"/>
              <a:gd name="connsiteX0" fmla="*/ 0 w 4803229"/>
              <a:gd name="connsiteY0" fmla="*/ 491457 h 2957979"/>
              <a:gd name="connsiteX1" fmla="*/ 305602 w 4803229"/>
              <a:gd name="connsiteY1" fmla="*/ 27878 h 2957979"/>
              <a:gd name="connsiteX2" fmla="*/ 4516127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05602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24187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24187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2094 w 4805323"/>
              <a:gd name="connsiteY0" fmla="*/ 491457 h 2957979"/>
              <a:gd name="connsiteX1" fmla="*/ 326281 w 4805323"/>
              <a:gd name="connsiteY1" fmla="*/ 27878 h 2957979"/>
              <a:gd name="connsiteX2" fmla="*/ 4508929 w 4805323"/>
              <a:gd name="connsiteY2" fmla="*/ 0 h 2957979"/>
              <a:gd name="connsiteX3" fmla="*/ 4805239 w 4805323"/>
              <a:gd name="connsiteY3" fmla="*/ 491457 h 2957979"/>
              <a:gd name="connsiteX4" fmla="*/ 4805239 w 4805323"/>
              <a:gd name="connsiteY4" fmla="*/ 2457229 h 2957979"/>
              <a:gd name="connsiteX5" fmla="*/ 4546099 w 4805323"/>
              <a:gd name="connsiteY5" fmla="*/ 2957979 h 2957979"/>
              <a:gd name="connsiteX6" fmla="*/ 233357 w 4805323"/>
              <a:gd name="connsiteY6" fmla="*/ 2939393 h 2957979"/>
              <a:gd name="connsiteX7" fmla="*/ 2094 w 4805323"/>
              <a:gd name="connsiteY7" fmla="*/ 2457229 h 2957979"/>
              <a:gd name="connsiteX8" fmla="*/ 2094 w 4805323"/>
              <a:gd name="connsiteY8" fmla="*/ 491457 h 2957979"/>
              <a:gd name="connsiteX0" fmla="*/ 2094 w 4806299"/>
              <a:gd name="connsiteY0" fmla="*/ 491457 h 2957979"/>
              <a:gd name="connsiteX1" fmla="*/ 326281 w 4806299"/>
              <a:gd name="connsiteY1" fmla="*/ 27878 h 2957979"/>
              <a:gd name="connsiteX2" fmla="*/ 4508929 w 4806299"/>
              <a:gd name="connsiteY2" fmla="*/ 0 h 2957979"/>
              <a:gd name="connsiteX3" fmla="*/ 4805239 w 4806299"/>
              <a:gd name="connsiteY3" fmla="*/ 491457 h 2957979"/>
              <a:gd name="connsiteX4" fmla="*/ 4805239 w 4806299"/>
              <a:gd name="connsiteY4" fmla="*/ 2457229 h 2957979"/>
              <a:gd name="connsiteX5" fmla="*/ 4564684 w 4806299"/>
              <a:gd name="connsiteY5" fmla="*/ 2957979 h 2957979"/>
              <a:gd name="connsiteX6" fmla="*/ 233357 w 4806299"/>
              <a:gd name="connsiteY6" fmla="*/ 2939393 h 2957979"/>
              <a:gd name="connsiteX7" fmla="*/ 2094 w 4806299"/>
              <a:gd name="connsiteY7" fmla="*/ 2457229 h 2957979"/>
              <a:gd name="connsiteX8" fmla="*/ 2094 w 4806299"/>
              <a:gd name="connsiteY8" fmla="*/ 491457 h 2957979"/>
              <a:gd name="connsiteX0" fmla="*/ 1 w 4804206"/>
              <a:gd name="connsiteY0" fmla="*/ 491457 h 2957979"/>
              <a:gd name="connsiteX1" fmla="*/ 324188 w 4804206"/>
              <a:gd name="connsiteY1" fmla="*/ 27878 h 2957979"/>
              <a:gd name="connsiteX2" fmla="*/ 4506836 w 4804206"/>
              <a:gd name="connsiteY2" fmla="*/ 0 h 2957979"/>
              <a:gd name="connsiteX3" fmla="*/ 4803146 w 4804206"/>
              <a:gd name="connsiteY3" fmla="*/ 491457 h 2957979"/>
              <a:gd name="connsiteX4" fmla="*/ 4803146 w 4804206"/>
              <a:gd name="connsiteY4" fmla="*/ 2457229 h 2957979"/>
              <a:gd name="connsiteX5" fmla="*/ 4562591 w 4804206"/>
              <a:gd name="connsiteY5" fmla="*/ 2957979 h 2957979"/>
              <a:gd name="connsiteX6" fmla="*/ 296313 w 4804206"/>
              <a:gd name="connsiteY6" fmla="*/ 2939393 h 2957979"/>
              <a:gd name="connsiteX7" fmla="*/ 1 w 4804206"/>
              <a:gd name="connsiteY7" fmla="*/ 2457229 h 2957979"/>
              <a:gd name="connsiteX8" fmla="*/ 1 w 4804206"/>
              <a:gd name="connsiteY8" fmla="*/ 491457 h 29579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04206" h="2957979">
                <a:moveTo>
                  <a:pt x="1" y="491457"/>
                </a:moveTo>
                <a:cubicBezTo>
                  <a:pt x="1" y="220033"/>
                  <a:pt x="-2992" y="18585"/>
                  <a:pt x="324188" y="27878"/>
                </a:cubicBezTo>
                <a:lnTo>
                  <a:pt x="4506836" y="0"/>
                </a:lnTo>
                <a:cubicBezTo>
                  <a:pt x="4778260" y="0"/>
                  <a:pt x="4803146" y="220033"/>
                  <a:pt x="4803146" y="491457"/>
                </a:cubicBezTo>
                <a:lnTo>
                  <a:pt x="4803146" y="2457229"/>
                </a:lnTo>
                <a:cubicBezTo>
                  <a:pt x="4803146" y="2728653"/>
                  <a:pt x="4834015" y="2957979"/>
                  <a:pt x="4562591" y="2957979"/>
                </a:cubicBezTo>
                <a:lnTo>
                  <a:pt x="296313" y="2939393"/>
                </a:lnTo>
                <a:cubicBezTo>
                  <a:pt x="24889" y="2939393"/>
                  <a:pt x="1" y="2728653"/>
                  <a:pt x="1" y="2457229"/>
                </a:cubicBezTo>
                <a:lnTo>
                  <a:pt x="1" y="491457"/>
                </a:lnTo>
                <a:close/>
              </a:path>
            </a:pathLst>
          </a:cu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b="1">
              <a:solidFill>
                <a:sysClr val="windowText" lastClr="000000"/>
              </a:solidFill>
              <a:latin typeface="Raleway" pitchFamily="2"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PH" sz="1400" b="1" i="0" baseline="0">
                <a:solidFill>
                  <a:sysClr val="windowText" lastClr="000000"/>
                </a:solidFill>
                <a:effectLst/>
                <a:latin typeface="Raleway" pitchFamily="2" charset="0"/>
                <a:ea typeface="+mn-ea"/>
                <a:cs typeface="+mn-cs"/>
              </a:rPr>
              <a:t>  Trust in Ads by Age Group</a:t>
            </a:r>
            <a:endParaRPr lang="en-PH" sz="1000">
              <a:solidFill>
                <a:schemeClr val="tx1">
                  <a:lumMod val="65000"/>
                  <a:lumOff val="35000"/>
                </a:schemeClr>
              </a:solidFill>
              <a:latin typeface="Inter"/>
            </a:endParaRPr>
          </a:p>
        </xdr:txBody>
      </xdr:sp>
      <xdr:graphicFrame macro="">
        <xdr:nvGraphicFramePr>
          <xdr:cNvPr id="4109" name="Chart 4108">
            <a:extLst>
              <a:ext uri="{FF2B5EF4-FFF2-40B4-BE49-F238E27FC236}">
                <a16:creationId xmlns:a16="http://schemas.microsoft.com/office/drawing/2014/main" id="{E09A9A10-877C-4A16-954F-F9DFC8902191}"/>
              </a:ext>
            </a:extLst>
          </xdr:cNvPr>
          <xdr:cNvGraphicFramePr>
            <a:graphicFrameLocks/>
          </xdr:cNvGraphicFramePr>
        </xdr:nvGraphicFramePr>
        <xdr:xfrm>
          <a:off x="1263599" y="8499491"/>
          <a:ext cx="4442646" cy="2238175"/>
        </xdr:xfrm>
        <a:graphic>
          <a:graphicData uri="http://schemas.openxmlformats.org/drawingml/2006/chart">
            <c:chart xmlns:c="http://schemas.openxmlformats.org/drawingml/2006/chart" xmlns:r="http://schemas.openxmlformats.org/officeDocument/2006/relationships" r:id="rId30"/>
          </a:graphicData>
        </a:graphic>
      </xdr:graphicFrame>
    </xdr:grpSp>
    <xdr:clientData/>
  </xdr:twoCellAnchor>
  <xdr:twoCellAnchor>
    <xdr:from>
      <xdr:col>21</xdr:col>
      <xdr:colOff>409494</xdr:colOff>
      <xdr:row>42</xdr:row>
      <xdr:rowOff>134863</xdr:rowOff>
    </xdr:from>
    <xdr:to>
      <xdr:col>30</xdr:col>
      <xdr:colOff>176893</xdr:colOff>
      <xdr:row>58</xdr:row>
      <xdr:rowOff>72721</xdr:rowOff>
    </xdr:to>
    <xdr:grpSp>
      <xdr:nvGrpSpPr>
        <xdr:cNvPr id="4112" name="Group 4111">
          <a:extLst>
            <a:ext uri="{FF2B5EF4-FFF2-40B4-BE49-F238E27FC236}">
              <a16:creationId xmlns:a16="http://schemas.microsoft.com/office/drawing/2014/main" id="{A76E3677-74DF-1994-1706-EBFDA1138D6D}"/>
            </a:ext>
          </a:extLst>
        </xdr:cNvPr>
        <xdr:cNvGrpSpPr/>
      </xdr:nvGrpSpPr>
      <xdr:grpSpPr>
        <a:xfrm>
          <a:off x="13347281" y="8889757"/>
          <a:ext cx="5312165" cy="3310113"/>
          <a:chOff x="6235587" y="7873201"/>
          <a:chExt cx="6660785" cy="2857069"/>
        </a:xfrm>
      </xdr:grpSpPr>
      <xdr:sp macro="" textlink="">
        <xdr:nvSpPr>
          <xdr:cNvPr id="4111" name="Rectangle: Rounded Corners 50">
            <a:extLst>
              <a:ext uri="{FF2B5EF4-FFF2-40B4-BE49-F238E27FC236}">
                <a16:creationId xmlns:a16="http://schemas.microsoft.com/office/drawing/2014/main" id="{BEF1F31D-3446-2880-25AD-BEB47AF54852}"/>
              </a:ext>
            </a:extLst>
          </xdr:cNvPr>
          <xdr:cNvSpPr/>
        </xdr:nvSpPr>
        <xdr:spPr>
          <a:xfrm>
            <a:off x="6235587" y="7873201"/>
            <a:ext cx="6660785" cy="2857069"/>
          </a:xfrm>
          <a:custGeom>
            <a:avLst/>
            <a:gdLst>
              <a:gd name="connsiteX0" fmla="*/ 0 w 4803145"/>
              <a:gd name="connsiteY0" fmla="*/ 491457 h 2948686"/>
              <a:gd name="connsiteX1" fmla="*/ 491457 w 4803145"/>
              <a:gd name="connsiteY1" fmla="*/ 0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491457 w 4803145"/>
              <a:gd name="connsiteY6" fmla="*/ 2948686 h 2948686"/>
              <a:gd name="connsiteX7" fmla="*/ 0 w 4803145"/>
              <a:gd name="connsiteY7" fmla="*/ 2457229 h 2948686"/>
              <a:gd name="connsiteX8" fmla="*/ 0 w 4803145"/>
              <a:gd name="connsiteY8" fmla="*/ 491457 h 2948686"/>
              <a:gd name="connsiteX0" fmla="*/ 0 w 4803145"/>
              <a:gd name="connsiteY0" fmla="*/ 491457 h 2948686"/>
              <a:gd name="connsiteX1" fmla="*/ 277725 w 4803145"/>
              <a:gd name="connsiteY1" fmla="*/ 18585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491457 w 4803145"/>
              <a:gd name="connsiteY6" fmla="*/ 2948686 h 2948686"/>
              <a:gd name="connsiteX7" fmla="*/ 0 w 4803145"/>
              <a:gd name="connsiteY7" fmla="*/ 2457229 h 2948686"/>
              <a:gd name="connsiteX8" fmla="*/ 0 w 4803145"/>
              <a:gd name="connsiteY8" fmla="*/ 491457 h 2948686"/>
              <a:gd name="connsiteX0" fmla="*/ 0 w 4803145"/>
              <a:gd name="connsiteY0" fmla="*/ 491457 h 2948686"/>
              <a:gd name="connsiteX1" fmla="*/ 277725 w 4803145"/>
              <a:gd name="connsiteY1" fmla="*/ 18585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296311 w 4803145"/>
              <a:gd name="connsiteY6" fmla="*/ 2920808 h 2948686"/>
              <a:gd name="connsiteX7" fmla="*/ 0 w 4803145"/>
              <a:gd name="connsiteY7" fmla="*/ 2457229 h 2948686"/>
              <a:gd name="connsiteX8" fmla="*/ 0 w 4803145"/>
              <a:gd name="connsiteY8" fmla="*/ 491457 h 2948686"/>
              <a:gd name="connsiteX0" fmla="*/ 0 w 4803229"/>
              <a:gd name="connsiteY0" fmla="*/ 491457 h 2957979"/>
              <a:gd name="connsiteX1" fmla="*/ 277725 w 4803229"/>
              <a:gd name="connsiteY1" fmla="*/ 18585 h 2957979"/>
              <a:gd name="connsiteX2" fmla="*/ 4311688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277725 w 4803229"/>
              <a:gd name="connsiteY1" fmla="*/ 18585 h 2957979"/>
              <a:gd name="connsiteX2" fmla="*/ 4516127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1 w 4803230"/>
              <a:gd name="connsiteY0" fmla="*/ 491457 h 2957979"/>
              <a:gd name="connsiteX1" fmla="*/ 268433 w 4803230"/>
              <a:gd name="connsiteY1" fmla="*/ 18585 h 2957979"/>
              <a:gd name="connsiteX2" fmla="*/ 4516128 w 4803230"/>
              <a:gd name="connsiteY2" fmla="*/ 0 h 2957979"/>
              <a:gd name="connsiteX3" fmla="*/ 4803146 w 4803230"/>
              <a:gd name="connsiteY3" fmla="*/ 491457 h 2957979"/>
              <a:gd name="connsiteX4" fmla="*/ 4803146 w 4803230"/>
              <a:gd name="connsiteY4" fmla="*/ 2457229 h 2957979"/>
              <a:gd name="connsiteX5" fmla="*/ 4544006 w 4803230"/>
              <a:gd name="connsiteY5" fmla="*/ 2957979 h 2957979"/>
              <a:gd name="connsiteX6" fmla="*/ 296312 w 4803230"/>
              <a:gd name="connsiteY6" fmla="*/ 2920808 h 2957979"/>
              <a:gd name="connsiteX7" fmla="*/ 1 w 4803230"/>
              <a:gd name="connsiteY7" fmla="*/ 2457229 h 2957979"/>
              <a:gd name="connsiteX8" fmla="*/ 1 w 4803230"/>
              <a:gd name="connsiteY8" fmla="*/ 491457 h 2957979"/>
              <a:gd name="connsiteX0" fmla="*/ 0 w 4803229"/>
              <a:gd name="connsiteY0" fmla="*/ 491457 h 2957979"/>
              <a:gd name="connsiteX1" fmla="*/ 305602 w 4803229"/>
              <a:gd name="connsiteY1" fmla="*/ 27878 h 2957979"/>
              <a:gd name="connsiteX2" fmla="*/ 4516127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05602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24187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24187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2094 w 4805323"/>
              <a:gd name="connsiteY0" fmla="*/ 491457 h 2957979"/>
              <a:gd name="connsiteX1" fmla="*/ 326281 w 4805323"/>
              <a:gd name="connsiteY1" fmla="*/ 27878 h 2957979"/>
              <a:gd name="connsiteX2" fmla="*/ 4508929 w 4805323"/>
              <a:gd name="connsiteY2" fmla="*/ 0 h 2957979"/>
              <a:gd name="connsiteX3" fmla="*/ 4805239 w 4805323"/>
              <a:gd name="connsiteY3" fmla="*/ 491457 h 2957979"/>
              <a:gd name="connsiteX4" fmla="*/ 4805239 w 4805323"/>
              <a:gd name="connsiteY4" fmla="*/ 2457229 h 2957979"/>
              <a:gd name="connsiteX5" fmla="*/ 4546099 w 4805323"/>
              <a:gd name="connsiteY5" fmla="*/ 2957979 h 2957979"/>
              <a:gd name="connsiteX6" fmla="*/ 233357 w 4805323"/>
              <a:gd name="connsiteY6" fmla="*/ 2939393 h 2957979"/>
              <a:gd name="connsiteX7" fmla="*/ 2094 w 4805323"/>
              <a:gd name="connsiteY7" fmla="*/ 2457229 h 2957979"/>
              <a:gd name="connsiteX8" fmla="*/ 2094 w 4805323"/>
              <a:gd name="connsiteY8" fmla="*/ 491457 h 2957979"/>
              <a:gd name="connsiteX0" fmla="*/ 2094 w 4806299"/>
              <a:gd name="connsiteY0" fmla="*/ 491457 h 2957979"/>
              <a:gd name="connsiteX1" fmla="*/ 326281 w 4806299"/>
              <a:gd name="connsiteY1" fmla="*/ 27878 h 2957979"/>
              <a:gd name="connsiteX2" fmla="*/ 4508929 w 4806299"/>
              <a:gd name="connsiteY2" fmla="*/ 0 h 2957979"/>
              <a:gd name="connsiteX3" fmla="*/ 4805239 w 4806299"/>
              <a:gd name="connsiteY3" fmla="*/ 491457 h 2957979"/>
              <a:gd name="connsiteX4" fmla="*/ 4805239 w 4806299"/>
              <a:gd name="connsiteY4" fmla="*/ 2457229 h 2957979"/>
              <a:gd name="connsiteX5" fmla="*/ 4564684 w 4806299"/>
              <a:gd name="connsiteY5" fmla="*/ 2957979 h 2957979"/>
              <a:gd name="connsiteX6" fmla="*/ 233357 w 4806299"/>
              <a:gd name="connsiteY6" fmla="*/ 2939393 h 2957979"/>
              <a:gd name="connsiteX7" fmla="*/ 2094 w 4806299"/>
              <a:gd name="connsiteY7" fmla="*/ 2457229 h 2957979"/>
              <a:gd name="connsiteX8" fmla="*/ 2094 w 4806299"/>
              <a:gd name="connsiteY8" fmla="*/ 491457 h 2957979"/>
              <a:gd name="connsiteX0" fmla="*/ 1 w 4804206"/>
              <a:gd name="connsiteY0" fmla="*/ 491457 h 2957979"/>
              <a:gd name="connsiteX1" fmla="*/ 324188 w 4804206"/>
              <a:gd name="connsiteY1" fmla="*/ 27878 h 2957979"/>
              <a:gd name="connsiteX2" fmla="*/ 4506836 w 4804206"/>
              <a:gd name="connsiteY2" fmla="*/ 0 h 2957979"/>
              <a:gd name="connsiteX3" fmla="*/ 4803146 w 4804206"/>
              <a:gd name="connsiteY3" fmla="*/ 491457 h 2957979"/>
              <a:gd name="connsiteX4" fmla="*/ 4803146 w 4804206"/>
              <a:gd name="connsiteY4" fmla="*/ 2457229 h 2957979"/>
              <a:gd name="connsiteX5" fmla="*/ 4562591 w 4804206"/>
              <a:gd name="connsiteY5" fmla="*/ 2957979 h 2957979"/>
              <a:gd name="connsiteX6" fmla="*/ 296313 w 4804206"/>
              <a:gd name="connsiteY6" fmla="*/ 2939393 h 2957979"/>
              <a:gd name="connsiteX7" fmla="*/ 1 w 4804206"/>
              <a:gd name="connsiteY7" fmla="*/ 2457229 h 2957979"/>
              <a:gd name="connsiteX8" fmla="*/ 1 w 4804206"/>
              <a:gd name="connsiteY8" fmla="*/ 491457 h 29579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04206" h="2957979">
                <a:moveTo>
                  <a:pt x="1" y="491457"/>
                </a:moveTo>
                <a:cubicBezTo>
                  <a:pt x="1" y="220033"/>
                  <a:pt x="-2992" y="18585"/>
                  <a:pt x="324188" y="27878"/>
                </a:cubicBezTo>
                <a:lnTo>
                  <a:pt x="4506836" y="0"/>
                </a:lnTo>
                <a:cubicBezTo>
                  <a:pt x="4778260" y="0"/>
                  <a:pt x="4803146" y="220033"/>
                  <a:pt x="4803146" y="491457"/>
                </a:cubicBezTo>
                <a:lnTo>
                  <a:pt x="4803146" y="2457229"/>
                </a:lnTo>
                <a:cubicBezTo>
                  <a:pt x="4803146" y="2728653"/>
                  <a:pt x="4834015" y="2957979"/>
                  <a:pt x="4562591" y="2957979"/>
                </a:cubicBezTo>
                <a:lnTo>
                  <a:pt x="296313" y="2939393"/>
                </a:lnTo>
                <a:cubicBezTo>
                  <a:pt x="24889" y="2939393"/>
                  <a:pt x="1" y="2728653"/>
                  <a:pt x="1" y="2457229"/>
                </a:cubicBezTo>
                <a:lnTo>
                  <a:pt x="1" y="491457"/>
                </a:lnTo>
                <a:close/>
              </a:path>
            </a:pathLst>
          </a:cu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b="1">
              <a:solidFill>
                <a:sysClr val="windowText" lastClr="000000"/>
              </a:solidFill>
              <a:latin typeface="Raleway" pitchFamily="2"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PH" sz="1400" b="1" i="0" baseline="0">
                <a:solidFill>
                  <a:sysClr val="windowText" lastClr="000000"/>
                </a:solidFill>
                <a:effectLst/>
                <a:latin typeface="Raleway" pitchFamily="2" charset="0"/>
                <a:ea typeface="+mn-ea"/>
                <a:cs typeface="+mn-cs"/>
              </a:rPr>
              <a:t>  Most Engaging Ad Formats</a:t>
            </a:r>
            <a:endParaRPr lang="en-PH" sz="1000">
              <a:solidFill>
                <a:schemeClr val="tx1">
                  <a:lumMod val="65000"/>
                  <a:lumOff val="35000"/>
                </a:schemeClr>
              </a:solidFill>
              <a:latin typeface="Inter"/>
            </a:endParaRPr>
          </a:p>
        </xdr:txBody>
      </xdr:sp>
      <xdr:graphicFrame macro="">
        <xdr:nvGraphicFramePr>
          <xdr:cNvPr id="4110" name="Chart 4109">
            <a:extLst>
              <a:ext uri="{FF2B5EF4-FFF2-40B4-BE49-F238E27FC236}">
                <a16:creationId xmlns:a16="http://schemas.microsoft.com/office/drawing/2014/main" id="{EB803A00-A9DA-44C0-89F3-1D73A60E2A60}"/>
              </a:ext>
            </a:extLst>
          </xdr:cNvPr>
          <xdr:cNvGraphicFramePr>
            <a:graphicFrameLocks/>
          </xdr:cNvGraphicFramePr>
        </xdr:nvGraphicFramePr>
        <xdr:xfrm>
          <a:off x="6416330" y="8388766"/>
          <a:ext cx="6224448" cy="2327174"/>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2</xdr:col>
      <xdr:colOff>585243</xdr:colOff>
      <xdr:row>22</xdr:row>
      <xdr:rowOff>177891</xdr:rowOff>
    </xdr:from>
    <xdr:to>
      <xdr:col>10</xdr:col>
      <xdr:colOff>122464</xdr:colOff>
      <xdr:row>41</xdr:row>
      <xdr:rowOff>27215</xdr:rowOff>
    </xdr:to>
    <xdr:grpSp>
      <xdr:nvGrpSpPr>
        <xdr:cNvPr id="4119" name="Group 4118">
          <a:extLst>
            <a:ext uri="{FF2B5EF4-FFF2-40B4-BE49-F238E27FC236}">
              <a16:creationId xmlns:a16="http://schemas.microsoft.com/office/drawing/2014/main" id="{033E6380-5557-4FF5-E96C-5A1664539237}"/>
            </a:ext>
          </a:extLst>
        </xdr:cNvPr>
        <xdr:cNvGrpSpPr/>
      </xdr:nvGrpSpPr>
      <xdr:grpSpPr>
        <a:xfrm>
          <a:off x="1817413" y="4717465"/>
          <a:ext cx="4465902" cy="3853878"/>
          <a:chOff x="2497015" y="7989186"/>
          <a:chExt cx="5242531" cy="2948445"/>
        </a:xfrm>
      </xdr:grpSpPr>
      <xdr:sp macro="" textlink="">
        <xdr:nvSpPr>
          <xdr:cNvPr id="4116" name="Rectangle: Rounded Corners 50">
            <a:extLst>
              <a:ext uri="{FF2B5EF4-FFF2-40B4-BE49-F238E27FC236}">
                <a16:creationId xmlns:a16="http://schemas.microsoft.com/office/drawing/2014/main" id="{BB5AA22F-6698-F7F3-1046-5B5AE51A6B7C}"/>
              </a:ext>
            </a:extLst>
          </xdr:cNvPr>
          <xdr:cNvSpPr/>
        </xdr:nvSpPr>
        <xdr:spPr>
          <a:xfrm>
            <a:off x="2497015" y="7989186"/>
            <a:ext cx="5242531" cy="2938935"/>
          </a:xfrm>
          <a:custGeom>
            <a:avLst/>
            <a:gdLst>
              <a:gd name="connsiteX0" fmla="*/ 0 w 4803145"/>
              <a:gd name="connsiteY0" fmla="*/ 491457 h 2948686"/>
              <a:gd name="connsiteX1" fmla="*/ 491457 w 4803145"/>
              <a:gd name="connsiteY1" fmla="*/ 0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491457 w 4803145"/>
              <a:gd name="connsiteY6" fmla="*/ 2948686 h 2948686"/>
              <a:gd name="connsiteX7" fmla="*/ 0 w 4803145"/>
              <a:gd name="connsiteY7" fmla="*/ 2457229 h 2948686"/>
              <a:gd name="connsiteX8" fmla="*/ 0 w 4803145"/>
              <a:gd name="connsiteY8" fmla="*/ 491457 h 2948686"/>
              <a:gd name="connsiteX0" fmla="*/ 0 w 4803145"/>
              <a:gd name="connsiteY0" fmla="*/ 491457 h 2948686"/>
              <a:gd name="connsiteX1" fmla="*/ 277725 w 4803145"/>
              <a:gd name="connsiteY1" fmla="*/ 18585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491457 w 4803145"/>
              <a:gd name="connsiteY6" fmla="*/ 2948686 h 2948686"/>
              <a:gd name="connsiteX7" fmla="*/ 0 w 4803145"/>
              <a:gd name="connsiteY7" fmla="*/ 2457229 h 2948686"/>
              <a:gd name="connsiteX8" fmla="*/ 0 w 4803145"/>
              <a:gd name="connsiteY8" fmla="*/ 491457 h 2948686"/>
              <a:gd name="connsiteX0" fmla="*/ 0 w 4803145"/>
              <a:gd name="connsiteY0" fmla="*/ 491457 h 2948686"/>
              <a:gd name="connsiteX1" fmla="*/ 277725 w 4803145"/>
              <a:gd name="connsiteY1" fmla="*/ 18585 h 2948686"/>
              <a:gd name="connsiteX2" fmla="*/ 4311688 w 4803145"/>
              <a:gd name="connsiteY2" fmla="*/ 0 h 2948686"/>
              <a:gd name="connsiteX3" fmla="*/ 4803145 w 4803145"/>
              <a:gd name="connsiteY3" fmla="*/ 491457 h 2948686"/>
              <a:gd name="connsiteX4" fmla="*/ 4803145 w 4803145"/>
              <a:gd name="connsiteY4" fmla="*/ 2457229 h 2948686"/>
              <a:gd name="connsiteX5" fmla="*/ 4311688 w 4803145"/>
              <a:gd name="connsiteY5" fmla="*/ 2948686 h 2948686"/>
              <a:gd name="connsiteX6" fmla="*/ 296311 w 4803145"/>
              <a:gd name="connsiteY6" fmla="*/ 2920808 h 2948686"/>
              <a:gd name="connsiteX7" fmla="*/ 0 w 4803145"/>
              <a:gd name="connsiteY7" fmla="*/ 2457229 h 2948686"/>
              <a:gd name="connsiteX8" fmla="*/ 0 w 4803145"/>
              <a:gd name="connsiteY8" fmla="*/ 491457 h 2948686"/>
              <a:gd name="connsiteX0" fmla="*/ 0 w 4803229"/>
              <a:gd name="connsiteY0" fmla="*/ 491457 h 2957979"/>
              <a:gd name="connsiteX1" fmla="*/ 277725 w 4803229"/>
              <a:gd name="connsiteY1" fmla="*/ 18585 h 2957979"/>
              <a:gd name="connsiteX2" fmla="*/ 4311688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277725 w 4803229"/>
              <a:gd name="connsiteY1" fmla="*/ 18585 h 2957979"/>
              <a:gd name="connsiteX2" fmla="*/ 4516127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1 w 4803230"/>
              <a:gd name="connsiteY0" fmla="*/ 491457 h 2957979"/>
              <a:gd name="connsiteX1" fmla="*/ 268433 w 4803230"/>
              <a:gd name="connsiteY1" fmla="*/ 18585 h 2957979"/>
              <a:gd name="connsiteX2" fmla="*/ 4516128 w 4803230"/>
              <a:gd name="connsiteY2" fmla="*/ 0 h 2957979"/>
              <a:gd name="connsiteX3" fmla="*/ 4803146 w 4803230"/>
              <a:gd name="connsiteY3" fmla="*/ 491457 h 2957979"/>
              <a:gd name="connsiteX4" fmla="*/ 4803146 w 4803230"/>
              <a:gd name="connsiteY4" fmla="*/ 2457229 h 2957979"/>
              <a:gd name="connsiteX5" fmla="*/ 4544006 w 4803230"/>
              <a:gd name="connsiteY5" fmla="*/ 2957979 h 2957979"/>
              <a:gd name="connsiteX6" fmla="*/ 296312 w 4803230"/>
              <a:gd name="connsiteY6" fmla="*/ 2920808 h 2957979"/>
              <a:gd name="connsiteX7" fmla="*/ 1 w 4803230"/>
              <a:gd name="connsiteY7" fmla="*/ 2457229 h 2957979"/>
              <a:gd name="connsiteX8" fmla="*/ 1 w 4803230"/>
              <a:gd name="connsiteY8" fmla="*/ 491457 h 2957979"/>
              <a:gd name="connsiteX0" fmla="*/ 0 w 4803229"/>
              <a:gd name="connsiteY0" fmla="*/ 491457 h 2957979"/>
              <a:gd name="connsiteX1" fmla="*/ 305602 w 4803229"/>
              <a:gd name="connsiteY1" fmla="*/ 27878 h 2957979"/>
              <a:gd name="connsiteX2" fmla="*/ 4516127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05602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24187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0 w 4803229"/>
              <a:gd name="connsiteY0" fmla="*/ 491457 h 2957979"/>
              <a:gd name="connsiteX1" fmla="*/ 324187 w 4803229"/>
              <a:gd name="connsiteY1" fmla="*/ 27878 h 2957979"/>
              <a:gd name="connsiteX2" fmla="*/ 4506835 w 4803229"/>
              <a:gd name="connsiteY2" fmla="*/ 0 h 2957979"/>
              <a:gd name="connsiteX3" fmla="*/ 4803145 w 4803229"/>
              <a:gd name="connsiteY3" fmla="*/ 491457 h 2957979"/>
              <a:gd name="connsiteX4" fmla="*/ 4803145 w 4803229"/>
              <a:gd name="connsiteY4" fmla="*/ 2457229 h 2957979"/>
              <a:gd name="connsiteX5" fmla="*/ 4544005 w 4803229"/>
              <a:gd name="connsiteY5" fmla="*/ 2957979 h 2957979"/>
              <a:gd name="connsiteX6" fmla="*/ 296311 w 4803229"/>
              <a:gd name="connsiteY6" fmla="*/ 2920808 h 2957979"/>
              <a:gd name="connsiteX7" fmla="*/ 0 w 4803229"/>
              <a:gd name="connsiteY7" fmla="*/ 2457229 h 2957979"/>
              <a:gd name="connsiteX8" fmla="*/ 0 w 4803229"/>
              <a:gd name="connsiteY8" fmla="*/ 491457 h 2957979"/>
              <a:gd name="connsiteX0" fmla="*/ 2094 w 4805323"/>
              <a:gd name="connsiteY0" fmla="*/ 491457 h 2957979"/>
              <a:gd name="connsiteX1" fmla="*/ 326281 w 4805323"/>
              <a:gd name="connsiteY1" fmla="*/ 27878 h 2957979"/>
              <a:gd name="connsiteX2" fmla="*/ 4508929 w 4805323"/>
              <a:gd name="connsiteY2" fmla="*/ 0 h 2957979"/>
              <a:gd name="connsiteX3" fmla="*/ 4805239 w 4805323"/>
              <a:gd name="connsiteY3" fmla="*/ 491457 h 2957979"/>
              <a:gd name="connsiteX4" fmla="*/ 4805239 w 4805323"/>
              <a:gd name="connsiteY4" fmla="*/ 2457229 h 2957979"/>
              <a:gd name="connsiteX5" fmla="*/ 4546099 w 4805323"/>
              <a:gd name="connsiteY5" fmla="*/ 2957979 h 2957979"/>
              <a:gd name="connsiteX6" fmla="*/ 233357 w 4805323"/>
              <a:gd name="connsiteY6" fmla="*/ 2939393 h 2957979"/>
              <a:gd name="connsiteX7" fmla="*/ 2094 w 4805323"/>
              <a:gd name="connsiteY7" fmla="*/ 2457229 h 2957979"/>
              <a:gd name="connsiteX8" fmla="*/ 2094 w 4805323"/>
              <a:gd name="connsiteY8" fmla="*/ 491457 h 2957979"/>
              <a:gd name="connsiteX0" fmla="*/ 2094 w 4806299"/>
              <a:gd name="connsiteY0" fmla="*/ 491457 h 2957979"/>
              <a:gd name="connsiteX1" fmla="*/ 326281 w 4806299"/>
              <a:gd name="connsiteY1" fmla="*/ 27878 h 2957979"/>
              <a:gd name="connsiteX2" fmla="*/ 4508929 w 4806299"/>
              <a:gd name="connsiteY2" fmla="*/ 0 h 2957979"/>
              <a:gd name="connsiteX3" fmla="*/ 4805239 w 4806299"/>
              <a:gd name="connsiteY3" fmla="*/ 491457 h 2957979"/>
              <a:gd name="connsiteX4" fmla="*/ 4805239 w 4806299"/>
              <a:gd name="connsiteY4" fmla="*/ 2457229 h 2957979"/>
              <a:gd name="connsiteX5" fmla="*/ 4564684 w 4806299"/>
              <a:gd name="connsiteY5" fmla="*/ 2957979 h 2957979"/>
              <a:gd name="connsiteX6" fmla="*/ 233357 w 4806299"/>
              <a:gd name="connsiteY6" fmla="*/ 2939393 h 2957979"/>
              <a:gd name="connsiteX7" fmla="*/ 2094 w 4806299"/>
              <a:gd name="connsiteY7" fmla="*/ 2457229 h 2957979"/>
              <a:gd name="connsiteX8" fmla="*/ 2094 w 4806299"/>
              <a:gd name="connsiteY8" fmla="*/ 491457 h 2957979"/>
              <a:gd name="connsiteX0" fmla="*/ 1 w 4804206"/>
              <a:gd name="connsiteY0" fmla="*/ 491457 h 2957979"/>
              <a:gd name="connsiteX1" fmla="*/ 324188 w 4804206"/>
              <a:gd name="connsiteY1" fmla="*/ 27878 h 2957979"/>
              <a:gd name="connsiteX2" fmla="*/ 4506836 w 4804206"/>
              <a:gd name="connsiteY2" fmla="*/ 0 h 2957979"/>
              <a:gd name="connsiteX3" fmla="*/ 4803146 w 4804206"/>
              <a:gd name="connsiteY3" fmla="*/ 491457 h 2957979"/>
              <a:gd name="connsiteX4" fmla="*/ 4803146 w 4804206"/>
              <a:gd name="connsiteY4" fmla="*/ 2457229 h 2957979"/>
              <a:gd name="connsiteX5" fmla="*/ 4562591 w 4804206"/>
              <a:gd name="connsiteY5" fmla="*/ 2957979 h 2957979"/>
              <a:gd name="connsiteX6" fmla="*/ 296313 w 4804206"/>
              <a:gd name="connsiteY6" fmla="*/ 2939393 h 2957979"/>
              <a:gd name="connsiteX7" fmla="*/ 1 w 4804206"/>
              <a:gd name="connsiteY7" fmla="*/ 2457229 h 2957979"/>
              <a:gd name="connsiteX8" fmla="*/ 1 w 4804206"/>
              <a:gd name="connsiteY8" fmla="*/ 491457 h 29579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04206" h="2957979">
                <a:moveTo>
                  <a:pt x="1" y="491457"/>
                </a:moveTo>
                <a:cubicBezTo>
                  <a:pt x="1" y="220033"/>
                  <a:pt x="-2992" y="18585"/>
                  <a:pt x="324188" y="27878"/>
                </a:cubicBezTo>
                <a:lnTo>
                  <a:pt x="4506836" y="0"/>
                </a:lnTo>
                <a:cubicBezTo>
                  <a:pt x="4778260" y="0"/>
                  <a:pt x="4803146" y="220033"/>
                  <a:pt x="4803146" y="491457"/>
                </a:cubicBezTo>
                <a:lnTo>
                  <a:pt x="4803146" y="2457229"/>
                </a:lnTo>
                <a:cubicBezTo>
                  <a:pt x="4803146" y="2728653"/>
                  <a:pt x="4834015" y="2957979"/>
                  <a:pt x="4562591" y="2957979"/>
                </a:cubicBezTo>
                <a:lnTo>
                  <a:pt x="296313" y="2939393"/>
                </a:lnTo>
                <a:cubicBezTo>
                  <a:pt x="24889" y="2939393"/>
                  <a:pt x="1" y="2728653"/>
                  <a:pt x="1" y="2457229"/>
                </a:cubicBezTo>
                <a:lnTo>
                  <a:pt x="1" y="491457"/>
                </a:lnTo>
                <a:close/>
              </a:path>
            </a:pathLst>
          </a:cu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b="1">
              <a:solidFill>
                <a:sysClr val="windowText" lastClr="000000"/>
              </a:solidFill>
              <a:latin typeface="Raleway" pitchFamily="2"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PH" sz="1400" b="1" i="0" baseline="0">
                <a:solidFill>
                  <a:sysClr val="windowText" lastClr="000000"/>
                </a:solidFill>
                <a:effectLst/>
                <a:latin typeface="Raleway" pitchFamily="2" charset="0"/>
                <a:ea typeface="+mn-ea"/>
                <a:cs typeface="+mn-cs"/>
              </a:rPr>
              <a:t>  Relationship between </a:t>
            </a:r>
            <a:r>
              <a:rPr lang="en-PH" sz="1400" b="1">
                <a:solidFill>
                  <a:sysClr val="windowText" lastClr="000000"/>
                </a:solidFill>
                <a:latin typeface="Raleway" pitchFamily="2" charset="0"/>
              </a:rPr>
              <a:t>Purchase Frequenct vs Trust Level</a:t>
            </a:r>
            <a:endParaRPr lang="en-PH" sz="1000" b="1">
              <a:solidFill>
                <a:sysClr val="windowText" lastClr="000000"/>
              </a:solidFill>
              <a:latin typeface="Raleway" pitchFamily="2" charset="0"/>
            </a:endParaRPr>
          </a:p>
        </xdr:txBody>
      </xdr:sp>
      <xdr:graphicFrame macro="">
        <xdr:nvGraphicFramePr>
          <xdr:cNvPr id="4118" name="Chart 4117">
            <a:extLst>
              <a:ext uri="{FF2B5EF4-FFF2-40B4-BE49-F238E27FC236}">
                <a16:creationId xmlns:a16="http://schemas.microsoft.com/office/drawing/2014/main" id="{28C08985-9BE2-4DEC-8248-7CAB807BA0D1}"/>
              </a:ext>
            </a:extLst>
          </xdr:cNvPr>
          <xdr:cNvGraphicFramePr>
            <a:graphicFrameLocks/>
          </xdr:cNvGraphicFramePr>
        </xdr:nvGraphicFramePr>
        <xdr:xfrm>
          <a:off x="2813539" y="8628185"/>
          <a:ext cx="4572000" cy="2309446"/>
        </xdr:xfrm>
        <a:graphic>
          <a:graphicData uri="http://schemas.openxmlformats.org/drawingml/2006/chart">
            <c:chart xmlns:c="http://schemas.openxmlformats.org/drawingml/2006/chart" xmlns:r="http://schemas.openxmlformats.org/officeDocument/2006/relationships" r:id="rId32"/>
          </a:graphicData>
        </a:graphic>
      </xdr:graphicFrame>
    </xdr:grpSp>
    <xdr:clientData/>
  </xdr:twoCellAnchor>
  <xdr:twoCellAnchor>
    <xdr:from>
      <xdr:col>26</xdr:col>
      <xdr:colOff>566058</xdr:colOff>
      <xdr:row>11</xdr:row>
      <xdr:rowOff>207131</xdr:rowOff>
    </xdr:from>
    <xdr:to>
      <xdr:col>30</xdr:col>
      <xdr:colOff>411115</xdr:colOff>
      <xdr:row>21</xdr:row>
      <xdr:rowOff>193698</xdr:rowOff>
    </xdr:to>
    <xdr:grpSp>
      <xdr:nvGrpSpPr>
        <xdr:cNvPr id="9" name="Group 8">
          <a:extLst>
            <a:ext uri="{FF2B5EF4-FFF2-40B4-BE49-F238E27FC236}">
              <a16:creationId xmlns:a16="http://schemas.microsoft.com/office/drawing/2014/main" id="{5A047BEA-917A-DE82-A65C-4974272A9103}"/>
            </a:ext>
          </a:extLst>
        </xdr:cNvPr>
        <xdr:cNvGrpSpPr/>
      </xdr:nvGrpSpPr>
      <xdr:grpSpPr>
        <a:xfrm>
          <a:off x="16584271" y="2460705"/>
          <a:ext cx="2309397" cy="2061802"/>
          <a:chOff x="16544221" y="290264"/>
          <a:chExt cx="1841084" cy="1818757"/>
        </a:xfrm>
      </xdr:grpSpPr>
      <xdr:sp macro="" textlink="">
        <xdr:nvSpPr>
          <xdr:cNvPr id="4120" name="Rectangle: Rounded Corners 4119">
            <a:extLst>
              <a:ext uri="{FF2B5EF4-FFF2-40B4-BE49-F238E27FC236}">
                <a16:creationId xmlns:a16="http://schemas.microsoft.com/office/drawing/2014/main" id="{19C190B8-618B-42D2-B2B0-C6A9D537BA6F}"/>
              </a:ext>
            </a:extLst>
          </xdr:cNvPr>
          <xdr:cNvSpPr/>
        </xdr:nvSpPr>
        <xdr:spPr>
          <a:xfrm>
            <a:off x="16957588" y="879678"/>
            <a:ext cx="1051656" cy="1066480"/>
          </a:xfrm>
          <a:prstGeom prst="roundRect">
            <a:avLst/>
          </a:prstGeom>
          <a:solidFill>
            <a:srgbClr val="99CC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xdr:nvPicPr>
          <xdr:cNvPr id="4128" name="Picture 4127">
            <a:extLst>
              <a:ext uri="{FF2B5EF4-FFF2-40B4-BE49-F238E27FC236}">
                <a16:creationId xmlns:a16="http://schemas.microsoft.com/office/drawing/2014/main" id="{EA785520-770F-0A68-6FF2-5FEC720FCAB7}"/>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16544221" y="290264"/>
            <a:ext cx="1841084" cy="1818757"/>
          </a:xfrm>
          <a:prstGeom prst="rect">
            <a:avLst/>
          </a:prstGeom>
        </xdr:spPr>
      </xdr:pic>
    </xdr:grpSp>
    <xdr:clientData/>
  </xdr:twoCellAnchor>
  <xdr:oneCellAnchor>
    <xdr:from>
      <xdr:col>43</xdr:col>
      <xdr:colOff>33867</xdr:colOff>
      <xdr:row>10</xdr:row>
      <xdr:rowOff>118533</xdr:rowOff>
    </xdr:from>
    <xdr:ext cx="184731" cy="264560"/>
    <xdr:sp macro="" textlink="">
      <xdr:nvSpPr>
        <xdr:cNvPr id="16" name="TextBox 15">
          <a:extLst>
            <a:ext uri="{FF2B5EF4-FFF2-40B4-BE49-F238E27FC236}">
              <a16:creationId xmlns:a16="http://schemas.microsoft.com/office/drawing/2014/main" id="{AD58AD8B-9056-C20D-0EAC-4D94474D7F6C}"/>
            </a:ext>
          </a:extLst>
        </xdr:cNvPr>
        <xdr:cNvSpPr txBox="1"/>
      </xdr:nvSpPr>
      <xdr:spPr>
        <a:xfrm>
          <a:off x="26246667"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100"/>
        </a:p>
      </xdr:txBody>
    </xdr:sp>
    <xdr:clientData/>
  </xdr:oneCellAnchor>
  <xdr:twoCellAnchor>
    <xdr:from>
      <xdr:col>14</xdr:col>
      <xdr:colOff>94092</xdr:colOff>
      <xdr:row>16</xdr:row>
      <xdr:rowOff>121515</xdr:rowOff>
    </xdr:from>
    <xdr:to>
      <xdr:col>15</xdr:col>
      <xdr:colOff>325260</xdr:colOff>
      <xdr:row>18</xdr:row>
      <xdr:rowOff>27336</xdr:rowOff>
    </xdr:to>
    <xdr:sp macro="" textlink="">
      <xdr:nvSpPr>
        <xdr:cNvPr id="5" name="TextBox 4">
          <a:extLst>
            <a:ext uri="{FF2B5EF4-FFF2-40B4-BE49-F238E27FC236}">
              <a16:creationId xmlns:a16="http://schemas.microsoft.com/office/drawing/2014/main" id="{AE590281-02C4-AFAC-6CF3-835AFCBAA7FB}"/>
            </a:ext>
          </a:extLst>
        </xdr:cNvPr>
        <xdr:cNvSpPr txBox="1"/>
      </xdr:nvSpPr>
      <xdr:spPr>
        <a:xfrm>
          <a:off x="8565739" y="3427250"/>
          <a:ext cx="836286" cy="331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2000" b="1">
              <a:latin typeface="Lato" panose="020F0502020204030203" pitchFamily="34" charset="0"/>
              <a:ea typeface="Lato" panose="020F0502020204030203" pitchFamily="34" charset="0"/>
              <a:cs typeface="Lato" panose="020F0502020204030203" pitchFamily="34" charset="0"/>
            </a:rPr>
            <a:t>/ 5.0</a:t>
          </a:r>
        </a:p>
      </xdr:txBody>
    </xdr:sp>
    <xdr:clientData/>
  </xdr:twoCellAnchor>
  <xdr:twoCellAnchor>
    <xdr:from>
      <xdr:col>18</xdr:col>
      <xdr:colOff>562614</xdr:colOff>
      <xdr:row>16</xdr:row>
      <xdr:rowOff>153599</xdr:rowOff>
    </xdr:from>
    <xdr:to>
      <xdr:col>20</xdr:col>
      <xdr:colOff>178836</xdr:colOff>
      <xdr:row>18</xdr:row>
      <xdr:rowOff>59420</xdr:rowOff>
    </xdr:to>
    <xdr:sp macro="" textlink="">
      <xdr:nvSpPr>
        <xdr:cNvPr id="7" name="TextBox 6">
          <a:extLst>
            <a:ext uri="{FF2B5EF4-FFF2-40B4-BE49-F238E27FC236}">
              <a16:creationId xmlns:a16="http://schemas.microsoft.com/office/drawing/2014/main" id="{5E5E9C0A-F792-4F04-3DBD-6FC12F60818C}"/>
            </a:ext>
          </a:extLst>
        </xdr:cNvPr>
        <xdr:cNvSpPr txBox="1"/>
      </xdr:nvSpPr>
      <xdr:spPr>
        <a:xfrm>
          <a:off x="11631667" y="3495704"/>
          <a:ext cx="846116" cy="333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2000" b="1">
              <a:latin typeface="Lato" panose="020F0502020204030203" pitchFamily="34" charset="0"/>
              <a:ea typeface="Lato" panose="020F0502020204030203" pitchFamily="34" charset="0"/>
              <a:cs typeface="Lato" panose="020F0502020204030203" pitchFamily="34" charset="0"/>
            </a:rPr>
            <a:t>/ 5.0</a:t>
          </a:r>
        </a:p>
      </xdr:txBody>
    </xdr:sp>
    <xdr:clientData/>
  </xdr:twoCellAnchor>
  <xdr:twoCellAnchor>
    <xdr:from>
      <xdr:col>24</xdr:col>
      <xdr:colOff>273855</xdr:colOff>
      <xdr:row>16</xdr:row>
      <xdr:rowOff>172315</xdr:rowOff>
    </xdr:from>
    <xdr:to>
      <xdr:col>25</xdr:col>
      <xdr:colOff>505024</xdr:colOff>
      <xdr:row>18</xdr:row>
      <xdr:rowOff>78136</xdr:rowOff>
    </xdr:to>
    <xdr:sp macro="" textlink="">
      <xdr:nvSpPr>
        <xdr:cNvPr id="11" name="TextBox 10">
          <a:extLst>
            <a:ext uri="{FF2B5EF4-FFF2-40B4-BE49-F238E27FC236}">
              <a16:creationId xmlns:a16="http://schemas.microsoft.com/office/drawing/2014/main" id="{89DD02B4-649A-A21B-F126-063647298A2D}"/>
            </a:ext>
          </a:extLst>
        </xdr:cNvPr>
        <xdr:cNvSpPr txBox="1"/>
      </xdr:nvSpPr>
      <xdr:spPr>
        <a:xfrm>
          <a:off x="15032592" y="3514420"/>
          <a:ext cx="846116" cy="333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2000" b="1">
              <a:latin typeface="Lato" panose="020F0502020204030203" pitchFamily="34" charset="0"/>
              <a:ea typeface="Lato" panose="020F0502020204030203" pitchFamily="34" charset="0"/>
              <a:cs typeface="Lato" panose="020F0502020204030203" pitchFamily="34" charset="0"/>
            </a:rPr>
            <a:t>/ 5.0</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136770</xdr:colOff>
      <xdr:row>0</xdr:row>
      <xdr:rowOff>58615</xdr:rowOff>
    </xdr:from>
    <xdr:to>
      <xdr:col>2</xdr:col>
      <xdr:colOff>7626</xdr:colOff>
      <xdr:row>58</xdr:row>
      <xdr:rowOff>29308</xdr:rowOff>
    </xdr:to>
    <xdr:sp macro="" textlink="">
      <xdr:nvSpPr>
        <xdr:cNvPr id="2" name="Rectangle: Rounded Corners 1">
          <a:extLst>
            <a:ext uri="{FF2B5EF4-FFF2-40B4-BE49-F238E27FC236}">
              <a16:creationId xmlns:a16="http://schemas.microsoft.com/office/drawing/2014/main" id="{70DD7446-FE0D-4B20-A09E-BFE82DA90E33}"/>
            </a:ext>
          </a:extLst>
        </xdr:cNvPr>
        <xdr:cNvSpPr/>
      </xdr:nvSpPr>
      <xdr:spPr>
        <a:xfrm>
          <a:off x="136770" y="58615"/>
          <a:ext cx="1082241" cy="10736385"/>
        </a:xfrm>
        <a:prstGeom prst="roundRect">
          <a:avLst/>
        </a:prstGeom>
        <a:solidFill>
          <a:srgbClr val="2F80E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a:t>
          </a:r>
        </a:p>
      </xdr:txBody>
    </xdr:sp>
    <xdr:clientData/>
  </xdr:twoCellAnchor>
  <xdr:twoCellAnchor editAs="oneCell">
    <xdr:from>
      <xdr:col>0</xdr:col>
      <xdr:colOff>459154</xdr:colOff>
      <xdr:row>11</xdr:row>
      <xdr:rowOff>156308</xdr:rowOff>
    </xdr:from>
    <xdr:to>
      <xdr:col>1</xdr:col>
      <xdr:colOff>237776</xdr:colOff>
      <xdr:row>13</xdr:row>
      <xdr:rowOff>164171</xdr:rowOff>
    </xdr:to>
    <xdr:pic>
      <xdr:nvPicPr>
        <xdr:cNvPr id="4" name="Graphic 3" descr="Bar chart with solid fill">
          <a:hlinkClick xmlns:r="http://schemas.openxmlformats.org/officeDocument/2006/relationships" r:id="rId1"/>
          <a:extLst>
            <a:ext uri="{FF2B5EF4-FFF2-40B4-BE49-F238E27FC236}">
              <a16:creationId xmlns:a16="http://schemas.microsoft.com/office/drawing/2014/main" id="{46667CEE-61A1-4D01-9421-88CF0FD8FF0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459154" y="2198077"/>
          <a:ext cx="384314" cy="379094"/>
        </a:xfrm>
        <a:prstGeom prst="rect">
          <a:avLst/>
        </a:prstGeom>
      </xdr:spPr>
    </xdr:pic>
    <xdr:clientData/>
  </xdr:twoCellAnchor>
  <xdr:twoCellAnchor editAs="oneCell">
    <xdr:from>
      <xdr:col>0</xdr:col>
      <xdr:colOff>459155</xdr:colOff>
      <xdr:row>17</xdr:row>
      <xdr:rowOff>185614</xdr:rowOff>
    </xdr:from>
    <xdr:to>
      <xdr:col>1</xdr:col>
      <xdr:colOff>207891</xdr:colOff>
      <xdr:row>20</xdr:row>
      <xdr:rowOff>44855</xdr:rowOff>
    </xdr:to>
    <xdr:pic>
      <xdr:nvPicPr>
        <xdr:cNvPr id="5" name="Graphic 4" descr="Document with solid fill">
          <a:hlinkClick xmlns:r="http://schemas.openxmlformats.org/officeDocument/2006/relationships" r:id="rId4"/>
          <a:extLst>
            <a:ext uri="{FF2B5EF4-FFF2-40B4-BE49-F238E27FC236}">
              <a16:creationId xmlns:a16="http://schemas.microsoft.com/office/drawing/2014/main" id="{46FB4844-EE4B-4094-8D95-86E3A7AE48F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59155" y="3341076"/>
          <a:ext cx="354428" cy="416087"/>
        </a:xfrm>
        <a:prstGeom prst="rect">
          <a:avLst/>
        </a:prstGeom>
      </xdr:spPr>
    </xdr:pic>
    <xdr:clientData/>
  </xdr:twoCellAnchor>
  <xdr:twoCellAnchor editAs="oneCell">
    <xdr:from>
      <xdr:col>0</xdr:col>
      <xdr:colOff>478693</xdr:colOff>
      <xdr:row>24</xdr:row>
      <xdr:rowOff>175846</xdr:rowOff>
    </xdr:from>
    <xdr:to>
      <xdr:col>1</xdr:col>
      <xdr:colOff>220545</xdr:colOff>
      <xdr:row>27</xdr:row>
      <xdr:rowOff>36158</xdr:rowOff>
    </xdr:to>
    <xdr:pic>
      <xdr:nvPicPr>
        <xdr:cNvPr id="7" name="Graphic 6" descr="Research with solid fill">
          <a:hlinkClick xmlns:r="http://schemas.openxmlformats.org/officeDocument/2006/relationships" r:id="rId7"/>
          <a:extLst>
            <a:ext uri="{FF2B5EF4-FFF2-40B4-BE49-F238E27FC236}">
              <a16:creationId xmlns:a16="http://schemas.microsoft.com/office/drawing/2014/main" id="{85A328AD-8537-424E-9A2B-8CC10C38E46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78693" y="4630615"/>
          <a:ext cx="347544" cy="417158"/>
        </a:xfrm>
        <a:prstGeom prst="rect">
          <a:avLst/>
        </a:prstGeom>
      </xdr:spPr>
    </xdr:pic>
    <xdr:clientData/>
  </xdr:twoCellAnchor>
  <xdr:twoCellAnchor editAs="oneCell">
    <xdr:from>
      <xdr:col>0</xdr:col>
      <xdr:colOff>459154</xdr:colOff>
      <xdr:row>30</xdr:row>
      <xdr:rowOff>117230</xdr:rowOff>
    </xdr:from>
    <xdr:to>
      <xdr:col>1</xdr:col>
      <xdr:colOff>223664</xdr:colOff>
      <xdr:row>33</xdr:row>
      <xdr:rowOff>758</xdr:rowOff>
    </xdr:to>
    <xdr:pic>
      <xdr:nvPicPr>
        <xdr:cNvPr id="8" name="Graphic 7" descr="Gears with solid fill">
          <a:hlinkClick xmlns:r="http://schemas.openxmlformats.org/officeDocument/2006/relationships" r:id="rId10"/>
          <a:extLst>
            <a:ext uri="{FF2B5EF4-FFF2-40B4-BE49-F238E27FC236}">
              <a16:creationId xmlns:a16="http://schemas.microsoft.com/office/drawing/2014/main" id="{C89E2F7E-4D42-46D5-BBA2-C93937882C9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59154" y="5685692"/>
          <a:ext cx="370202" cy="435232"/>
        </a:xfrm>
        <a:prstGeom prst="rect">
          <a:avLst/>
        </a:prstGeom>
      </xdr:spPr>
    </xdr:pic>
    <xdr:clientData/>
  </xdr:twoCellAnchor>
  <xdr:twoCellAnchor editAs="oneCell">
    <xdr:from>
      <xdr:col>0</xdr:col>
      <xdr:colOff>468923</xdr:colOff>
      <xdr:row>55</xdr:row>
      <xdr:rowOff>58615</xdr:rowOff>
    </xdr:from>
    <xdr:to>
      <xdr:col>1</xdr:col>
      <xdr:colOff>195118</xdr:colOff>
      <xdr:row>57</xdr:row>
      <xdr:rowOff>42639</xdr:rowOff>
    </xdr:to>
    <xdr:pic macro="[0]!ExitButton_Click">
      <xdr:nvPicPr>
        <xdr:cNvPr id="9" name="Graphic 8" descr="Back with solid fill">
          <a:extLst>
            <a:ext uri="{FF2B5EF4-FFF2-40B4-BE49-F238E27FC236}">
              <a16:creationId xmlns:a16="http://schemas.microsoft.com/office/drawing/2014/main" id="{F7EB989A-86E7-4B15-BD81-C3E6C0E4CE3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68923" y="10267461"/>
          <a:ext cx="331887" cy="355255"/>
        </a:xfrm>
        <a:prstGeom prst="rect">
          <a:avLst/>
        </a:prstGeom>
      </xdr:spPr>
    </xdr:pic>
    <xdr:clientData/>
  </xdr:twoCellAnchor>
  <xdr:twoCellAnchor>
    <xdr:from>
      <xdr:col>2</xdr:col>
      <xdr:colOff>501581</xdr:colOff>
      <xdr:row>2</xdr:row>
      <xdr:rowOff>86528</xdr:rowOff>
    </xdr:from>
    <xdr:to>
      <xdr:col>13</xdr:col>
      <xdr:colOff>514676</xdr:colOff>
      <xdr:row>5</xdr:row>
      <xdr:rowOff>0</xdr:rowOff>
    </xdr:to>
    <xdr:sp macro="" textlink="">
      <xdr:nvSpPr>
        <xdr:cNvPr id="10" name="Rectangle: Rounded Corners 50">
          <a:extLst>
            <a:ext uri="{FF2B5EF4-FFF2-40B4-BE49-F238E27FC236}">
              <a16:creationId xmlns:a16="http://schemas.microsoft.com/office/drawing/2014/main" id="{1F04F9A9-06AA-4EB2-8D8F-798CAE4FB62C}"/>
            </a:ext>
          </a:extLst>
        </xdr:cNvPr>
        <xdr:cNvSpPr/>
      </xdr:nvSpPr>
      <xdr:spPr>
        <a:xfrm>
          <a:off x="1720781" y="461666"/>
          <a:ext cx="6718695" cy="476180"/>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2000" b="1" i="0" baseline="0">
              <a:solidFill>
                <a:sysClr val="windowText" lastClr="000000"/>
              </a:solidFill>
              <a:effectLst/>
              <a:latin typeface="Raleway" pitchFamily="2" charset="0"/>
              <a:ea typeface="+mn-ea"/>
              <a:cs typeface="+mn-cs"/>
            </a:rPr>
            <a:t>Global Report Variables</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PH" sz="2000" b="1" i="0" baseline="0">
            <a:solidFill>
              <a:sysClr val="windowText" lastClr="000000"/>
            </a:solidFill>
            <a:effectLst/>
            <a:latin typeface="Raleway" pitchFamily="2" charset="0"/>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lang="en-PH" sz="2000">
            <a:solidFill>
              <a:schemeClr val="tx1">
                <a:lumMod val="65000"/>
                <a:lumOff val="35000"/>
              </a:schemeClr>
            </a:solidFill>
            <a:latin typeface="Inter"/>
          </a:endParaRPr>
        </a:p>
      </xdr:txBody>
    </xdr:sp>
    <xdr:clientData/>
  </xdr:twoCellAnchor>
  <xdr:twoCellAnchor>
    <xdr:from>
      <xdr:col>2</xdr:col>
      <xdr:colOff>501581</xdr:colOff>
      <xdr:row>6</xdr:row>
      <xdr:rowOff>39635</xdr:rowOff>
    </xdr:from>
    <xdr:to>
      <xdr:col>13</xdr:col>
      <xdr:colOff>514676</xdr:colOff>
      <xdr:row>10</xdr:row>
      <xdr:rowOff>23446</xdr:rowOff>
    </xdr:to>
    <xdr:sp macro="" textlink="">
      <xdr:nvSpPr>
        <xdr:cNvPr id="11" name="Rectangle: Rounded Corners 50">
          <a:extLst>
            <a:ext uri="{FF2B5EF4-FFF2-40B4-BE49-F238E27FC236}">
              <a16:creationId xmlns:a16="http://schemas.microsoft.com/office/drawing/2014/main" id="{40918CE3-B5EB-D464-C798-8B1B8793CC90}"/>
            </a:ext>
          </a:extLst>
        </xdr:cNvPr>
        <xdr:cNvSpPr/>
      </xdr:nvSpPr>
      <xdr:spPr>
        <a:xfrm>
          <a:off x="1720781" y="1165050"/>
          <a:ext cx="6718695" cy="734088"/>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1600" b="1" i="0" baseline="0">
              <a:solidFill>
                <a:sysClr val="windowText" lastClr="000000"/>
              </a:solidFill>
              <a:effectLst/>
              <a:latin typeface="Raleway" pitchFamily="2" charset="0"/>
              <a:ea typeface="+mn-ea"/>
              <a:cs typeface="+mn-cs"/>
            </a:rPr>
            <a:t>Dashboard Title</a:t>
          </a:r>
          <a:br>
            <a:rPr lang="en-PH" sz="1600" b="1" i="0" baseline="0">
              <a:solidFill>
                <a:sysClr val="windowText" lastClr="000000"/>
              </a:solidFill>
              <a:effectLst/>
              <a:latin typeface="Raleway" pitchFamily="2" charset="0"/>
              <a:ea typeface="+mn-ea"/>
              <a:cs typeface="+mn-cs"/>
            </a:rPr>
          </a:br>
          <a:r>
            <a:rPr lang="en-PH" sz="1600">
              <a:solidFill>
                <a:sysClr val="windowText" lastClr="000000"/>
              </a:solidFill>
              <a:latin typeface="Raleway" pitchFamily="2" charset="0"/>
            </a:rPr>
            <a:t>Digital Marketing &amp; Brand Awareness Insights</a:t>
          </a:r>
        </a:p>
      </xdr:txBody>
    </xdr:sp>
    <xdr:clientData/>
  </xdr:twoCellAnchor>
  <xdr:twoCellAnchor>
    <xdr:from>
      <xdr:col>2</xdr:col>
      <xdr:colOff>501581</xdr:colOff>
      <xdr:row>10</xdr:row>
      <xdr:rowOff>156866</xdr:rowOff>
    </xdr:from>
    <xdr:to>
      <xdr:col>13</xdr:col>
      <xdr:colOff>514676</xdr:colOff>
      <xdr:row>14</xdr:row>
      <xdr:rowOff>140677</xdr:rowOff>
    </xdr:to>
    <xdr:sp macro="" textlink="">
      <xdr:nvSpPr>
        <xdr:cNvPr id="12" name="Rectangle: Rounded Corners 50">
          <a:extLst>
            <a:ext uri="{FF2B5EF4-FFF2-40B4-BE49-F238E27FC236}">
              <a16:creationId xmlns:a16="http://schemas.microsoft.com/office/drawing/2014/main" id="{DB10638B-5726-2D0C-0594-A0C1A697CA22}"/>
            </a:ext>
          </a:extLst>
        </xdr:cNvPr>
        <xdr:cNvSpPr/>
      </xdr:nvSpPr>
      <xdr:spPr>
        <a:xfrm>
          <a:off x="1720781" y="2032558"/>
          <a:ext cx="6718695" cy="734088"/>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1600" b="1" i="0" baseline="0">
              <a:solidFill>
                <a:sysClr val="windowText" lastClr="000000"/>
              </a:solidFill>
              <a:effectLst/>
              <a:latin typeface="Raleway" pitchFamily="2" charset="0"/>
              <a:ea typeface="+mn-ea"/>
              <a:cs typeface="+mn-cs"/>
            </a:rPr>
            <a:t>Author</a:t>
          </a:r>
          <a:br>
            <a:rPr lang="en-PH" sz="1600" b="1" i="0" baseline="0">
              <a:solidFill>
                <a:sysClr val="windowText" lastClr="000000"/>
              </a:solidFill>
              <a:effectLst/>
              <a:latin typeface="Raleway" pitchFamily="2" charset="0"/>
              <a:ea typeface="+mn-ea"/>
              <a:cs typeface="+mn-cs"/>
            </a:rPr>
          </a:br>
          <a:r>
            <a:rPr lang="en-PH" sz="1600">
              <a:solidFill>
                <a:sysClr val="windowText" lastClr="000000"/>
              </a:solidFill>
              <a:latin typeface="Raleway" pitchFamily="2" charset="0"/>
            </a:rPr>
            <a:t>Iverene Grace M. Causapin</a:t>
          </a:r>
        </a:p>
      </xdr:txBody>
    </xdr:sp>
    <xdr:clientData/>
  </xdr:twoCellAnchor>
  <xdr:twoCellAnchor>
    <xdr:from>
      <xdr:col>2</xdr:col>
      <xdr:colOff>489858</xdr:colOff>
      <xdr:row>15</xdr:row>
      <xdr:rowOff>51359</xdr:rowOff>
    </xdr:from>
    <xdr:to>
      <xdr:col>13</xdr:col>
      <xdr:colOff>502953</xdr:colOff>
      <xdr:row>19</xdr:row>
      <xdr:rowOff>35170</xdr:rowOff>
    </xdr:to>
    <xdr:sp macro="" textlink="">
      <xdr:nvSpPr>
        <xdr:cNvPr id="13" name="Rectangle: Rounded Corners 50">
          <a:extLst>
            <a:ext uri="{FF2B5EF4-FFF2-40B4-BE49-F238E27FC236}">
              <a16:creationId xmlns:a16="http://schemas.microsoft.com/office/drawing/2014/main" id="{BBF58283-8EBF-79B7-8787-B80AC664552A}"/>
            </a:ext>
          </a:extLst>
        </xdr:cNvPr>
        <xdr:cNvSpPr/>
      </xdr:nvSpPr>
      <xdr:spPr>
        <a:xfrm>
          <a:off x="1709058" y="2864897"/>
          <a:ext cx="6718695" cy="734088"/>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1600" b="1" i="0" baseline="0">
              <a:solidFill>
                <a:sysClr val="windowText" lastClr="000000"/>
              </a:solidFill>
              <a:effectLst/>
              <a:latin typeface="Raleway" pitchFamily="2" charset="0"/>
              <a:ea typeface="+mn-ea"/>
              <a:cs typeface="+mn-cs"/>
            </a:rPr>
            <a:t>Total Respondents</a:t>
          </a:r>
          <a:br>
            <a:rPr lang="en-PH" sz="1600" b="1" i="0" baseline="0">
              <a:solidFill>
                <a:sysClr val="windowText" lastClr="000000"/>
              </a:solidFill>
              <a:effectLst/>
              <a:latin typeface="Raleway" pitchFamily="2" charset="0"/>
              <a:ea typeface="+mn-ea"/>
              <a:cs typeface="+mn-cs"/>
            </a:rPr>
          </a:br>
          <a:endParaRPr lang="en-PH" sz="1600">
            <a:solidFill>
              <a:sysClr val="windowText" lastClr="000000"/>
            </a:solidFill>
            <a:latin typeface="Raleway" pitchFamily="2" charset="0"/>
          </a:endParaRPr>
        </a:p>
      </xdr:txBody>
    </xdr:sp>
    <xdr:clientData/>
  </xdr:twoCellAnchor>
  <xdr:twoCellAnchor>
    <xdr:from>
      <xdr:col>3</xdr:col>
      <xdr:colOff>0</xdr:colOff>
      <xdr:row>16</xdr:row>
      <xdr:rowOff>164123</xdr:rowOff>
    </xdr:from>
    <xdr:to>
      <xdr:col>4</xdr:col>
      <xdr:colOff>550985</xdr:colOff>
      <xdr:row>18</xdr:row>
      <xdr:rowOff>82062</xdr:rowOff>
    </xdr:to>
    <xdr:sp macro="" textlink="Settings!$F$7">
      <xdr:nvSpPr>
        <xdr:cNvPr id="14" name="TextBox 13">
          <a:extLst>
            <a:ext uri="{FF2B5EF4-FFF2-40B4-BE49-F238E27FC236}">
              <a16:creationId xmlns:a16="http://schemas.microsoft.com/office/drawing/2014/main" id="{3D3B7CAC-5239-EAA9-6C79-803AF4D25F1B}"/>
            </a:ext>
          </a:extLst>
        </xdr:cNvPr>
        <xdr:cNvSpPr txBox="1"/>
      </xdr:nvSpPr>
      <xdr:spPr>
        <a:xfrm>
          <a:off x="1828800" y="3165231"/>
          <a:ext cx="1160585"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68CAC6-0DF7-4C7B-AEF2-4C3EAC79A40C}" type="TxLink">
            <a:rPr lang="en-US" sz="1600" b="0" i="0" u="none" strike="noStrike">
              <a:solidFill>
                <a:srgbClr val="000000"/>
              </a:solidFill>
              <a:latin typeface="Raleway" pitchFamily="2" charset="0"/>
              <a:ea typeface="Calibri"/>
              <a:cs typeface="Calibri"/>
            </a:rPr>
            <a:pPr/>
            <a:t>30</a:t>
          </a:fld>
          <a:endParaRPr lang="en-PH" sz="1600">
            <a:latin typeface="Raleway" pitchFamily="2" charset="0"/>
          </a:endParaRPr>
        </a:p>
      </xdr:txBody>
    </xdr:sp>
    <xdr:clientData/>
  </xdr:twoCellAnchor>
  <xdr:twoCellAnchor>
    <xdr:from>
      <xdr:col>2</xdr:col>
      <xdr:colOff>501581</xdr:colOff>
      <xdr:row>19</xdr:row>
      <xdr:rowOff>168589</xdr:rowOff>
    </xdr:from>
    <xdr:to>
      <xdr:col>13</xdr:col>
      <xdr:colOff>514676</xdr:colOff>
      <xdr:row>23</xdr:row>
      <xdr:rowOff>152400</xdr:rowOff>
    </xdr:to>
    <xdr:sp macro="" textlink="">
      <xdr:nvSpPr>
        <xdr:cNvPr id="15" name="Rectangle: Rounded Corners 50">
          <a:extLst>
            <a:ext uri="{FF2B5EF4-FFF2-40B4-BE49-F238E27FC236}">
              <a16:creationId xmlns:a16="http://schemas.microsoft.com/office/drawing/2014/main" id="{7FAA89E3-6140-5D41-A609-84EE4274A86B}"/>
            </a:ext>
          </a:extLst>
        </xdr:cNvPr>
        <xdr:cNvSpPr/>
      </xdr:nvSpPr>
      <xdr:spPr>
        <a:xfrm>
          <a:off x="1720781" y="3732404"/>
          <a:ext cx="6718695" cy="734088"/>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1600" b="1" i="0" baseline="0">
              <a:solidFill>
                <a:sysClr val="windowText" lastClr="000000"/>
              </a:solidFill>
              <a:effectLst/>
              <a:latin typeface="Raleway" pitchFamily="2" charset="0"/>
              <a:ea typeface="+mn-ea"/>
              <a:cs typeface="+mn-cs"/>
            </a:rPr>
            <a:t>Survey Period</a:t>
          </a:r>
          <a:br>
            <a:rPr lang="en-PH" sz="1600" b="1" i="0" baseline="0">
              <a:solidFill>
                <a:sysClr val="windowText" lastClr="000000"/>
              </a:solidFill>
              <a:effectLst/>
              <a:latin typeface="Raleway" pitchFamily="2" charset="0"/>
              <a:ea typeface="+mn-ea"/>
              <a:cs typeface="+mn-cs"/>
            </a:rPr>
          </a:br>
          <a:r>
            <a:rPr lang="en-PH" sz="1600">
              <a:solidFill>
                <a:sysClr val="windowText" lastClr="000000"/>
              </a:solidFill>
              <a:latin typeface="Raleway" pitchFamily="2" charset="0"/>
            </a:rPr>
            <a:t>November 12 -</a:t>
          </a:r>
          <a:r>
            <a:rPr lang="en-PH" sz="1600" baseline="0">
              <a:solidFill>
                <a:sysClr val="windowText" lastClr="000000"/>
              </a:solidFill>
              <a:latin typeface="Raleway" pitchFamily="2" charset="0"/>
            </a:rPr>
            <a:t> 14, 2025</a:t>
          </a:r>
          <a:endParaRPr lang="en-PH" sz="1600">
            <a:solidFill>
              <a:sysClr val="windowText" lastClr="000000"/>
            </a:solidFill>
            <a:latin typeface="Raleway" pitchFamily="2" charset="0"/>
          </a:endParaRPr>
        </a:p>
      </xdr:txBody>
    </xdr:sp>
    <xdr:clientData/>
  </xdr:twoCellAnchor>
  <xdr:twoCellAnchor>
    <xdr:from>
      <xdr:col>2</xdr:col>
      <xdr:colOff>478135</xdr:colOff>
      <xdr:row>24</xdr:row>
      <xdr:rowOff>109973</xdr:rowOff>
    </xdr:from>
    <xdr:to>
      <xdr:col>13</xdr:col>
      <xdr:colOff>491230</xdr:colOff>
      <xdr:row>28</xdr:row>
      <xdr:rowOff>93785</xdr:rowOff>
    </xdr:to>
    <xdr:sp macro="" textlink="">
      <xdr:nvSpPr>
        <xdr:cNvPr id="16" name="Rectangle: Rounded Corners 50">
          <a:extLst>
            <a:ext uri="{FF2B5EF4-FFF2-40B4-BE49-F238E27FC236}">
              <a16:creationId xmlns:a16="http://schemas.microsoft.com/office/drawing/2014/main" id="{BBE27F6C-D073-F010-F4A2-E5AE5A6FEC11}"/>
            </a:ext>
          </a:extLst>
        </xdr:cNvPr>
        <xdr:cNvSpPr/>
      </xdr:nvSpPr>
      <xdr:spPr>
        <a:xfrm>
          <a:off x="1697335" y="4611635"/>
          <a:ext cx="6718695" cy="734088"/>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1600" b="1" i="0" baseline="0">
              <a:solidFill>
                <a:sysClr val="windowText" lastClr="000000"/>
              </a:solidFill>
              <a:effectLst/>
              <a:latin typeface="Raleway" pitchFamily="2" charset="0"/>
              <a:ea typeface="+mn-ea"/>
              <a:cs typeface="+mn-cs"/>
            </a:rPr>
            <a:t>Target Audience</a:t>
          </a:r>
          <a:br>
            <a:rPr lang="en-PH" sz="1600" b="1" i="0" baseline="0">
              <a:solidFill>
                <a:sysClr val="windowText" lastClr="000000"/>
              </a:solidFill>
              <a:effectLst/>
              <a:latin typeface="Raleway" pitchFamily="2" charset="0"/>
              <a:ea typeface="+mn-ea"/>
              <a:cs typeface="+mn-cs"/>
            </a:rPr>
          </a:br>
          <a:r>
            <a:rPr lang="en-PH" sz="1600">
              <a:solidFill>
                <a:sysClr val="windowText" lastClr="000000"/>
              </a:solidFill>
              <a:latin typeface="Raleway" pitchFamily="2" charset="0"/>
            </a:rPr>
            <a:t>College Students</a:t>
          </a:r>
        </a:p>
      </xdr:txBody>
    </xdr:sp>
    <xdr:clientData/>
  </xdr:twoCellAnchor>
  <xdr:twoCellAnchor>
    <xdr:from>
      <xdr:col>14</xdr:col>
      <xdr:colOff>383048</xdr:colOff>
      <xdr:row>2</xdr:row>
      <xdr:rowOff>86528</xdr:rowOff>
    </xdr:from>
    <xdr:to>
      <xdr:col>25</xdr:col>
      <xdr:colOff>396143</xdr:colOff>
      <xdr:row>5</xdr:row>
      <xdr:rowOff>0</xdr:rowOff>
    </xdr:to>
    <xdr:sp macro="" textlink="">
      <xdr:nvSpPr>
        <xdr:cNvPr id="17" name="Rectangle: Rounded Corners 50">
          <a:extLst>
            <a:ext uri="{FF2B5EF4-FFF2-40B4-BE49-F238E27FC236}">
              <a16:creationId xmlns:a16="http://schemas.microsoft.com/office/drawing/2014/main" id="{68797AAD-E298-6D8A-704F-9E2DD97AA23D}"/>
            </a:ext>
          </a:extLst>
        </xdr:cNvPr>
        <xdr:cNvSpPr/>
      </xdr:nvSpPr>
      <xdr:spPr>
        <a:xfrm>
          <a:off x="8917448" y="459061"/>
          <a:ext cx="6718695" cy="472272"/>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2000" b="1" i="0" baseline="0">
              <a:solidFill>
                <a:sysClr val="windowText" lastClr="000000"/>
              </a:solidFill>
              <a:effectLst/>
              <a:latin typeface="Raleway" pitchFamily="2" charset="0"/>
              <a:ea typeface="+mn-ea"/>
              <a:cs typeface="+mn-cs"/>
            </a:rPr>
            <a:t>Color Codes</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PH" sz="2000" b="1" i="0" baseline="0">
            <a:solidFill>
              <a:sysClr val="windowText" lastClr="000000"/>
            </a:solidFill>
            <a:effectLst/>
            <a:latin typeface="Raleway" pitchFamily="2" charset="0"/>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lang="en-PH" sz="2000">
            <a:solidFill>
              <a:schemeClr val="tx1">
                <a:lumMod val="65000"/>
                <a:lumOff val="35000"/>
              </a:schemeClr>
            </a:solidFill>
            <a:latin typeface="Inter"/>
          </a:endParaRPr>
        </a:p>
      </xdr:txBody>
    </xdr:sp>
    <xdr:clientData/>
  </xdr:twoCellAnchor>
  <xdr:twoCellAnchor>
    <xdr:from>
      <xdr:col>14</xdr:col>
      <xdr:colOff>383047</xdr:colOff>
      <xdr:row>6</xdr:row>
      <xdr:rowOff>56568</xdr:rowOff>
    </xdr:from>
    <xdr:to>
      <xdr:col>25</xdr:col>
      <xdr:colOff>396142</xdr:colOff>
      <xdr:row>10</xdr:row>
      <xdr:rowOff>40379</xdr:rowOff>
    </xdr:to>
    <xdr:sp macro="" textlink="">
      <xdr:nvSpPr>
        <xdr:cNvPr id="18" name="Rectangle: Rounded Corners 50">
          <a:extLst>
            <a:ext uri="{FF2B5EF4-FFF2-40B4-BE49-F238E27FC236}">
              <a16:creationId xmlns:a16="http://schemas.microsoft.com/office/drawing/2014/main" id="{925B4FD8-35E6-A522-1436-93E41F096036}"/>
            </a:ext>
          </a:extLst>
        </xdr:cNvPr>
        <xdr:cNvSpPr/>
      </xdr:nvSpPr>
      <xdr:spPr>
        <a:xfrm>
          <a:off x="8917447" y="1174168"/>
          <a:ext cx="6718695" cy="728878"/>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1600" b="1" i="0" baseline="0">
              <a:solidFill>
                <a:sysClr val="windowText" lastClr="000000"/>
              </a:solidFill>
              <a:effectLst/>
              <a:latin typeface="Raleway" pitchFamily="2" charset="0"/>
              <a:ea typeface="+mn-ea"/>
              <a:cs typeface="+mn-cs"/>
            </a:rPr>
            <a:t>Primary Color</a:t>
          </a:r>
          <a:br>
            <a:rPr lang="en-PH" sz="1600" b="1" i="0" baseline="0">
              <a:solidFill>
                <a:sysClr val="windowText" lastClr="000000"/>
              </a:solidFill>
              <a:effectLst/>
              <a:latin typeface="Raleway" pitchFamily="2" charset="0"/>
              <a:ea typeface="+mn-ea"/>
              <a:cs typeface="+mn-cs"/>
            </a:rPr>
          </a:br>
          <a:r>
            <a:rPr lang="en-PH" sz="1600">
              <a:solidFill>
                <a:srgbClr val="2F80ED"/>
              </a:solidFill>
              <a:latin typeface="Raleway" pitchFamily="2" charset="0"/>
            </a:rPr>
            <a:t>#2F80ED</a:t>
          </a:r>
        </a:p>
      </xdr:txBody>
    </xdr:sp>
    <xdr:clientData/>
  </xdr:twoCellAnchor>
  <xdr:twoCellAnchor>
    <xdr:from>
      <xdr:col>14</xdr:col>
      <xdr:colOff>399981</xdr:colOff>
      <xdr:row>10</xdr:row>
      <xdr:rowOff>175102</xdr:rowOff>
    </xdr:from>
    <xdr:to>
      <xdr:col>25</xdr:col>
      <xdr:colOff>413076</xdr:colOff>
      <xdr:row>14</xdr:row>
      <xdr:rowOff>158914</xdr:rowOff>
    </xdr:to>
    <xdr:sp macro="" textlink="">
      <xdr:nvSpPr>
        <xdr:cNvPr id="19" name="Rectangle: Rounded Corners 50">
          <a:extLst>
            <a:ext uri="{FF2B5EF4-FFF2-40B4-BE49-F238E27FC236}">
              <a16:creationId xmlns:a16="http://schemas.microsoft.com/office/drawing/2014/main" id="{C01AD031-6CEE-216E-3A1F-1C1009AEB5C0}"/>
            </a:ext>
          </a:extLst>
        </xdr:cNvPr>
        <xdr:cNvSpPr/>
      </xdr:nvSpPr>
      <xdr:spPr>
        <a:xfrm>
          <a:off x="8934381" y="2037769"/>
          <a:ext cx="6718695" cy="728878"/>
        </a:xfrm>
        <a:prstGeom prst="roundRect">
          <a:avLst/>
        </a:prstGeom>
        <a:solidFill>
          <a:schemeClr val="bg1"/>
        </a:solidFill>
        <a:ln w="6350">
          <a:solidFill>
            <a:schemeClr val="bg2"/>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1600" b="1" i="0" baseline="0">
              <a:solidFill>
                <a:sysClr val="windowText" lastClr="000000"/>
              </a:solidFill>
              <a:effectLst/>
              <a:latin typeface="Raleway" pitchFamily="2" charset="0"/>
              <a:ea typeface="+mn-ea"/>
              <a:cs typeface="+mn-cs"/>
            </a:rPr>
            <a:t>Secondary Color</a:t>
          </a:r>
          <a:br>
            <a:rPr lang="en-PH" sz="1600" b="1" i="0" baseline="0">
              <a:solidFill>
                <a:sysClr val="windowText" lastClr="000000"/>
              </a:solidFill>
              <a:effectLst/>
              <a:latin typeface="Raleway" pitchFamily="2" charset="0"/>
              <a:ea typeface="+mn-ea"/>
              <a:cs typeface="+mn-cs"/>
            </a:rPr>
          </a:br>
          <a:r>
            <a:rPr lang="en-PH" sz="1600">
              <a:solidFill>
                <a:srgbClr val="99CCFF"/>
              </a:solidFill>
              <a:latin typeface="Raleway" pitchFamily="2" charset="0"/>
            </a:rPr>
            <a:t>#99CCFF</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verene Grace" refreshedDate="45980.985356597223" createdVersion="8" refreshedVersion="8" minRefreshableVersion="3" recordCount="30" xr:uid="{CD150DFC-9D7D-45FC-A388-FA72F8DB54DC}">
  <cacheSource type="worksheet">
    <worksheetSource ref="B1:AF31" sheet="Data Layer"/>
  </cacheSource>
  <cacheFields count="28">
    <cacheField name="Age Group" numFmtId="0">
      <sharedItems count="3">
        <s v="21 - 23"/>
        <s v="18 - 20"/>
        <s v="15 - 17"/>
      </sharedItems>
    </cacheField>
    <cacheField name="Gender" numFmtId="0">
      <sharedItems/>
    </cacheField>
    <cacheField name="Social Media Usage Time" numFmtId="0">
      <sharedItems count="4">
        <s v="More than 5 hours daily"/>
        <s v="3-5 hours daily"/>
        <s v="1-2 hours daily"/>
        <s v="Rarely"/>
      </sharedItems>
    </cacheField>
    <cacheField name="Platforms the respondents use most often" numFmtId="0">
      <sharedItems count="10">
        <s v="Facebook;Instagram;TikTok"/>
        <s v="Facebook;TikTok"/>
        <s v="Facebook;TikTok;X (Twitter)"/>
        <s v="Facebook;TikTok;YouTube"/>
        <s v="Facebook;Instagram"/>
        <s v="Instagram;TikTok;YouTube"/>
        <s v="Instagram;TikTok;X (Twitter)"/>
        <s v="TikTok;YouTube;X (Twitter)"/>
        <s v="Facebook"/>
        <s v="Instagram;YouTube;X (Twitter)"/>
      </sharedItems>
    </cacheField>
    <cacheField name="Facebook" numFmtId="0">
      <sharedItems containsSemiMixedTypes="0" containsString="0" containsNumber="1" containsInteger="1" minValue="0" maxValue="1" count="2">
        <n v="1"/>
        <n v="0"/>
      </sharedItems>
    </cacheField>
    <cacheField name="Instagram" numFmtId="0">
      <sharedItems containsSemiMixedTypes="0" containsString="0" containsNumber="1" containsInteger="1" minValue="0" maxValue="1"/>
    </cacheField>
    <cacheField name="TikTok" numFmtId="0">
      <sharedItems containsSemiMixedTypes="0" containsString="0" containsNumber="1" containsInteger="1" minValue="0" maxValue="1"/>
    </cacheField>
    <cacheField name="YouTube " numFmtId="0">
      <sharedItems containsSemiMixedTypes="0" containsString="0" containsNumber="1" containsInteger="1" minValue="0" maxValue="1"/>
    </cacheField>
    <cacheField name="X (Twitter)" numFmtId="0">
      <sharedItems containsSemiMixedTypes="0" containsString="0" containsNumber="1" containsInteger="1" minValue="0" maxValue="1"/>
    </cacheField>
    <cacheField name="Platform with most effective ads" numFmtId="0">
      <sharedItems count="4">
        <s v="TikTok"/>
        <s v="Facebook"/>
        <s v="YouTube"/>
        <s v="Instagram"/>
      </sharedItems>
    </cacheField>
    <cacheField name="Engagement frequency" numFmtId="0">
      <sharedItems/>
    </cacheField>
    <cacheField name="Engagement frequency2" numFmtId="0">
      <sharedItems containsSemiMixedTypes="0" containsString="0" containsNumber="1" containsInteger="1" minValue="1" maxValue="5"/>
    </cacheField>
    <cacheField name="Discovered new brand/product through social media in the last 3 months" numFmtId="0">
      <sharedItems/>
    </cacheField>
    <cacheField name="Purchase frequency after seeing an ad" numFmtId="0">
      <sharedItems/>
    </cacheField>
    <cacheField name="Trust in ads" numFmtId="0">
      <sharedItems containsSemiMixedTypes="0" containsString="0" containsNumber="1" containsInteger="1" minValue="3" maxValue="5"/>
    </cacheField>
    <cacheField name="Likelihood to recommend" numFmtId="0">
      <sharedItems containsSemiMixedTypes="0" containsString="0" containsNumber="1" containsInteger="1" minValue="2" maxValue="5"/>
    </cacheField>
    <cacheField name="Factors influencing purchase [Product quality]" numFmtId="0">
      <sharedItems/>
    </cacheField>
    <cacheField name="Product quality" numFmtId="0">
      <sharedItems containsSemiMixedTypes="0" containsString="0" containsNumber="1" containsInteger="1" minValue="3" maxValue="5"/>
    </cacheField>
    <cacheField name="Factors influencing purchase [Price and discounts]" numFmtId="0">
      <sharedItems/>
    </cacheField>
    <cacheField name="Price and discounts" numFmtId="0">
      <sharedItems containsSemiMixedTypes="0" containsString="0" containsNumber="1" containsInteger="1" minValue="2" maxValue="5"/>
    </cacheField>
    <cacheField name="Factors influencing purchase [Influencer endorsements]" numFmtId="0">
      <sharedItems/>
    </cacheField>
    <cacheField name="Influencer endorsements" numFmtId="0">
      <sharedItems containsSemiMixedTypes="0" containsString="0" containsNumber="1" containsInteger="1" minValue="1" maxValue="5"/>
    </cacheField>
    <cacheField name="Factors influencing purchase [Brand reputation]" numFmtId="0">
      <sharedItems/>
    </cacheField>
    <cacheField name="Brand reputation" numFmtId="0">
      <sharedItems containsSemiMixedTypes="0" containsString="0" containsNumber="1" containsInteger="1" minValue="3" maxValue="5"/>
    </cacheField>
    <cacheField name="Factors influencing purchase [Online reviews]" numFmtId="0">
      <sharedItems/>
    </cacheField>
    <cacheField name="Online reviews" numFmtId="0">
      <sharedItems containsSemiMixedTypes="0" containsString="0" containsNumber="1" containsInteger="1" minValue="2" maxValue="5"/>
    </cacheField>
    <cacheField name="Ad relevance satisfaction" numFmtId="0">
      <sharedItems containsSemiMixedTypes="0" containsString="0" containsNumber="1" containsInteger="1" minValue="2" maxValue="5"/>
    </cacheField>
    <cacheField name="Type of ad that attracts the respondents the most"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verene Grace" refreshedDate="45982.793265162036" createdVersion="8" refreshedVersion="8" minRefreshableVersion="3" recordCount="10" xr:uid="{548677AB-EB53-40CB-B425-09B0146625CA}">
  <cacheSource type="worksheet">
    <worksheetSource name="Table7"/>
  </cacheSource>
  <cacheFields count="3">
    <cacheField name="Platform" numFmtId="0">
      <sharedItems count="5">
        <s v="Facebook"/>
        <s v="Instagram"/>
        <s v="TikTok"/>
        <s v="YouTube"/>
        <s v="X (Twitter)"/>
      </sharedItems>
    </cacheField>
    <cacheField name="Metric Type" numFmtId="0">
      <sharedItems count="2">
        <s v="User"/>
        <s v="Most Effective"/>
      </sharedItems>
    </cacheField>
    <cacheField name="Count" numFmtId="0">
      <sharedItems containsSemiMixedTypes="0" containsString="0" containsNumber="1" containsInteger="1" minValue="0" maxValue="27"/>
    </cacheField>
  </cacheFields>
  <extLst>
    <ext xmlns:x14="http://schemas.microsoft.com/office/spreadsheetml/2009/9/main" uri="{725AE2AE-9491-48be-B2B4-4EB974FC3084}">
      <x14:pivotCacheDefinition pivotCacheId="2691741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s v="Male"/>
    <x v="0"/>
    <x v="0"/>
    <x v="0"/>
    <n v="1"/>
    <n v="1"/>
    <n v="0"/>
    <n v="0"/>
    <x v="0"/>
    <s v="Occasionally"/>
    <n v="2"/>
    <s v="Yes"/>
    <s v="Sometimes"/>
    <n v="3"/>
    <n v="4"/>
    <s v="5 - Very important"/>
    <n v="5"/>
    <s v="5 - Very important"/>
    <n v="5"/>
    <s v="2 - Slightly important"/>
    <n v="2"/>
    <s v="4 - Important"/>
    <n v="4"/>
    <s v="5 - Very important"/>
    <n v="5"/>
    <n v="3"/>
    <s v="Video ads"/>
  </r>
  <r>
    <x v="1"/>
    <s v="Male"/>
    <x v="0"/>
    <x v="0"/>
    <x v="0"/>
    <n v="1"/>
    <n v="1"/>
    <n v="0"/>
    <n v="0"/>
    <x v="0"/>
    <s v="Occasionally"/>
    <n v="2"/>
    <s v="Yes"/>
    <s v="Occasionally"/>
    <n v="4"/>
    <n v="4"/>
    <s v="5 - Very important"/>
    <n v="5"/>
    <s v="4 - Important"/>
    <n v="4"/>
    <s v="4 - Important"/>
    <n v="4"/>
    <s v="5 - Very important"/>
    <n v="5"/>
    <s v="5 - Very important"/>
    <n v="5"/>
    <n v="4"/>
    <s v="Promotional posts (discounts, giveaways)"/>
  </r>
  <r>
    <x v="1"/>
    <s v="Female"/>
    <x v="0"/>
    <x v="0"/>
    <x v="0"/>
    <n v="1"/>
    <n v="1"/>
    <n v="0"/>
    <n v="0"/>
    <x v="0"/>
    <s v="Occasionally"/>
    <n v="2"/>
    <s v="Yes"/>
    <s v="Occasionally"/>
    <n v="3"/>
    <n v="4"/>
    <s v="3 - Moderately important"/>
    <n v="3"/>
    <s v="2 - Slightly important"/>
    <n v="2"/>
    <s v="3 - Moderately important"/>
    <n v="3"/>
    <s v="4 - Important"/>
    <n v="4"/>
    <s v="2 - Slightly important"/>
    <n v="2"/>
    <n v="3"/>
    <s v="Video ads"/>
  </r>
  <r>
    <x v="0"/>
    <s v="Male"/>
    <x v="0"/>
    <x v="1"/>
    <x v="0"/>
    <n v="0"/>
    <n v="1"/>
    <n v="0"/>
    <n v="0"/>
    <x v="0"/>
    <s v="Never"/>
    <n v="1"/>
    <s v="Yes"/>
    <s v="Sometimes"/>
    <n v="3"/>
    <n v="3"/>
    <s v="5 - Very important"/>
    <n v="5"/>
    <s v="5 - Very important"/>
    <n v="5"/>
    <s v="3 - Moderately important"/>
    <n v="3"/>
    <s v="5 - Very important"/>
    <n v="5"/>
    <s v="5 - Very important"/>
    <n v="5"/>
    <n v="3"/>
    <s v="Video ads"/>
  </r>
  <r>
    <x v="0"/>
    <s v="Male"/>
    <x v="1"/>
    <x v="1"/>
    <x v="0"/>
    <n v="0"/>
    <n v="1"/>
    <n v="0"/>
    <n v="0"/>
    <x v="0"/>
    <s v="Occasionally"/>
    <n v="2"/>
    <s v="Yes"/>
    <s v="Occasionally"/>
    <n v="3"/>
    <n v="3"/>
    <s v="5 - Very important"/>
    <n v="5"/>
    <s v="5 - Very important"/>
    <n v="5"/>
    <s v="4 - Important"/>
    <n v="4"/>
    <s v="5 - Very important"/>
    <n v="5"/>
    <s v="5 - Very important"/>
    <n v="5"/>
    <n v="4"/>
    <s v="Promotional posts (discounts, giveaways)"/>
  </r>
  <r>
    <x v="0"/>
    <s v="Male"/>
    <x v="1"/>
    <x v="0"/>
    <x v="0"/>
    <n v="1"/>
    <n v="1"/>
    <n v="0"/>
    <n v="0"/>
    <x v="1"/>
    <s v="Sometimes"/>
    <n v="3"/>
    <s v="Yes"/>
    <s v="Sometimes"/>
    <n v="4"/>
    <n v="4"/>
    <s v="5 - Very important"/>
    <n v="5"/>
    <s v="5 - Very important"/>
    <n v="5"/>
    <s v="2 - Slightly important"/>
    <n v="2"/>
    <s v="5 - Very important"/>
    <n v="5"/>
    <s v="5 - Very important"/>
    <n v="5"/>
    <n v="4"/>
    <s v="Promotional posts (discounts, giveaways)"/>
  </r>
  <r>
    <x v="0"/>
    <s v="Female"/>
    <x v="2"/>
    <x v="2"/>
    <x v="0"/>
    <n v="0"/>
    <n v="1"/>
    <n v="0"/>
    <n v="1"/>
    <x v="2"/>
    <s v="Sometimes"/>
    <n v="3"/>
    <s v="Yes"/>
    <s v="Sometimes"/>
    <n v="3"/>
    <n v="3"/>
    <s v="5 - Very important"/>
    <n v="5"/>
    <s v="4 - Important"/>
    <n v="4"/>
    <s v="4 - Important"/>
    <n v="4"/>
    <s v="4 - Important"/>
    <n v="4"/>
    <s v="4 - Important"/>
    <n v="4"/>
    <n v="3"/>
    <s v="Video ads"/>
  </r>
  <r>
    <x v="1"/>
    <s v="Female"/>
    <x v="0"/>
    <x v="2"/>
    <x v="0"/>
    <n v="0"/>
    <n v="1"/>
    <n v="0"/>
    <n v="1"/>
    <x v="0"/>
    <s v="Never"/>
    <n v="1"/>
    <s v="Yes"/>
    <s v="Never"/>
    <n v="3"/>
    <n v="2"/>
    <s v="5 - Very important"/>
    <n v="5"/>
    <s v="3 - Moderately important"/>
    <n v="3"/>
    <s v="1 - Not important at all"/>
    <n v="1"/>
    <s v="4 - Important"/>
    <n v="4"/>
    <s v="4 - Important"/>
    <n v="4"/>
    <n v="2"/>
    <s v="Video ads"/>
  </r>
  <r>
    <x v="0"/>
    <s v="Female"/>
    <x v="2"/>
    <x v="3"/>
    <x v="0"/>
    <n v="0"/>
    <n v="1"/>
    <n v="1"/>
    <n v="0"/>
    <x v="2"/>
    <s v="Sometimes"/>
    <n v="3"/>
    <s v="Yes"/>
    <s v="Sometimes"/>
    <n v="3"/>
    <n v="3"/>
    <s v="5 - Very important"/>
    <n v="5"/>
    <s v="4 - Important"/>
    <n v="4"/>
    <s v="4 - Important"/>
    <n v="4"/>
    <s v="4 - Important"/>
    <n v="4"/>
    <s v="4 - Important"/>
    <n v="4"/>
    <n v="3"/>
    <s v="Video ads"/>
  </r>
  <r>
    <x v="1"/>
    <s v="Male"/>
    <x v="2"/>
    <x v="3"/>
    <x v="0"/>
    <n v="0"/>
    <n v="1"/>
    <n v="1"/>
    <n v="0"/>
    <x v="0"/>
    <s v="Occasionally"/>
    <n v="2"/>
    <s v="Yes"/>
    <s v="Occasionally"/>
    <n v="4"/>
    <n v="3"/>
    <s v="5 - Very important"/>
    <n v="5"/>
    <s v="5 - Very important"/>
    <n v="5"/>
    <s v="2 - Slightly important"/>
    <n v="2"/>
    <s v="5 - Very important"/>
    <n v="5"/>
    <s v="5 - Very important"/>
    <n v="5"/>
    <n v="5"/>
    <s v="Promotional posts (discounts, giveaways)"/>
  </r>
  <r>
    <x v="1"/>
    <s v="Female"/>
    <x v="0"/>
    <x v="0"/>
    <x v="0"/>
    <n v="1"/>
    <n v="1"/>
    <n v="0"/>
    <n v="0"/>
    <x v="0"/>
    <s v="Often"/>
    <n v="4"/>
    <s v="No"/>
    <s v="Often"/>
    <n v="3"/>
    <n v="2"/>
    <s v="5 - Very important"/>
    <n v="5"/>
    <s v="5 - Very important"/>
    <n v="5"/>
    <s v="5 - Very important"/>
    <n v="5"/>
    <s v="5 - Very important"/>
    <n v="5"/>
    <s v="5 - Very important"/>
    <n v="5"/>
    <n v="4"/>
    <s v="Promotional posts (discounts, giveaways)"/>
  </r>
  <r>
    <x v="1"/>
    <s v="Male"/>
    <x v="0"/>
    <x v="3"/>
    <x v="0"/>
    <n v="0"/>
    <n v="1"/>
    <n v="1"/>
    <n v="0"/>
    <x v="0"/>
    <s v="Occasionally"/>
    <n v="2"/>
    <s v="Yes"/>
    <s v="Always"/>
    <n v="4"/>
    <n v="4"/>
    <s v="4 - Important"/>
    <n v="4"/>
    <s v="3 - Moderately important"/>
    <n v="3"/>
    <s v="4 - Important"/>
    <n v="4"/>
    <s v="3 - Moderately important"/>
    <n v="3"/>
    <s v="3 - Moderately important"/>
    <n v="3"/>
    <n v="3"/>
    <s v="Video ads"/>
  </r>
  <r>
    <x v="1"/>
    <s v="Male"/>
    <x v="0"/>
    <x v="0"/>
    <x v="0"/>
    <n v="1"/>
    <n v="1"/>
    <n v="0"/>
    <n v="0"/>
    <x v="1"/>
    <s v="Occasionally"/>
    <n v="2"/>
    <s v="Yes"/>
    <s v="Sometimes"/>
    <n v="3"/>
    <n v="4"/>
    <s v="4 - Important"/>
    <n v="4"/>
    <s v="2 - Slightly important"/>
    <n v="2"/>
    <s v="3 - Moderately important"/>
    <n v="3"/>
    <s v="4 - Important"/>
    <n v="4"/>
    <s v="4 - Important"/>
    <n v="4"/>
    <n v="5"/>
    <s v="Image-based ads"/>
  </r>
  <r>
    <x v="1"/>
    <s v="Male"/>
    <x v="0"/>
    <x v="1"/>
    <x v="0"/>
    <n v="0"/>
    <n v="1"/>
    <n v="0"/>
    <n v="0"/>
    <x v="0"/>
    <s v="Occasionally"/>
    <n v="2"/>
    <s v="Yes"/>
    <s v="Occasionally"/>
    <n v="4"/>
    <n v="3"/>
    <s v="5 - Very important"/>
    <n v="5"/>
    <s v="5 - Very important"/>
    <n v="5"/>
    <s v="3 - Moderately important"/>
    <n v="3"/>
    <s v="5 - Very important"/>
    <n v="5"/>
    <s v="5 - Very important"/>
    <n v="5"/>
    <n v="3"/>
    <s v="Promotional posts (discounts, giveaways)"/>
  </r>
  <r>
    <x v="1"/>
    <s v="Male"/>
    <x v="1"/>
    <x v="3"/>
    <x v="0"/>
    <n v="0"/>
    <n v="1"/>
    <n v="1"/>
    <n v="0"/>
    <x v="2"/>
    <s v="Occasionally"/>
    <n v="2"/>
    <s v="Yes"/>
    <s v="Never"/>
    <n v="3"/>
    <n v="3"/>
    <s v="5 - Very important"/>
    <n v="5"/>
    <s v="5 - Very important"/>
    <n v="5"/>
    <s v="3 - Moderately important"/>
    <n v="3"/>
    <s v="4 - Important"/>
    <n v="4"/>
    <s v="5 - Very important"/>
    <n v="5"/>
    <n v="4"/>
    <s v="Video ads"/>
  </r>
  <r>
    <x v="0"/>
    <s v="Male"/>
    <x v="2"/>
    <x v="4"/>
    <x v="0"/>
    <n v="1"/>
    <n v="0"/>
    <n v="0"/>
    <n v="0"/>
    <x v="0"/>
    <s v="Sometimes"/>
    <n v="3"/>
    <s v="No"/>
    <s v="Sometimes"/>
    <n v="3"/>
    <n v="4"/>
    <s v="5 - Very important"/>
    <n v="5"/>
    <s v="5 - Very important"/>
    <n v="5"/>
    <s v="3 - Moderately important"/>
    <n v="3"/>
    <s v="5 - Very important"/>
    <n v="5"/>
    <s v="5 - Very important"/>
    <n v="5"/>
    <n v="4"/>
    <s v="Influencer content"/>
  </r>
  <r>
    <x v="1"/>
    <s v="Female"/>
    <x v="1"/>
    <x v="0"/>
    <x v="0"/>
    <n v="1"/>
    <n v="1"/>
    <n v="0"/>
    <n v="0"/>
    <x v="2"/>
    <s v="Occasionally"/>
    <n v="2"/>
    <s v="Yes"/>
    <s v="Occasionally"/>
    <n v="3"/>
    <n v="3"/>
    <s v="5 - Very important"/>
    <n v="5"/>
    <s v="5 - Very important"/>
    <n v="5"/>
    <s v="4 - Important"/>
    <n v="4"/>
    <s v="5 - Very important"/>
    <n v="5"/>
    <s v="5 - Very important"/>
    <n v="5"/>
    <n v="3"/>
    <s v="Image-based ads"/>
  </r>
  <r>
    <x v="1"/>
    <s v="Male"/>
    <x v="1"/>
    <x v="5"/>
    <x v="1"/>
    <n v="1"/>
    <n v="1"/>
    <n v="1"/>
    <n v="0"/>
    <x v="0"/>
    <s v="Always"/>
    <n v="5"/>
    <s v="Yes"/>
    <s v="Sometimes"/>
    <n v="4"/>
    <n v="4"/>
    <s v="5 - Very important"/>
    <n v="5"/>
    <s v="5 - Very important"/>
    <n v="5"/>
    <s v="2 - Slightly important"/>
    <n v="2"/>
    <s v="5 - Very important"/>
    <n v="5"/>
    <s v="5 - Very important"/>
    <n v="5"/>
    <n v="4"/>
    <s v="Promotional posts (discounts, giveaways)"/>
  </r>
  <r>
    <x v="0"/>
    <s v="Female"/>
    <x v="1"/>
    <x v="0"/>
    <x v="0"/>
    <n v="1"/>
    <n v="1"/>
    <n v="0"/>
    <n v="0"/>
    <x v="0"/>
    <s v="Sometimes"/>
    <n v="3"/>
    <s v="Yes"/>
    <s v="Sometimes"/>
    <n v="4"/>
    <n v="4"/>
    <s v="5 - Very important"/>
    <n v="5"/>
    <s v="5 - Very important"/>
    <n v="5"/>
    <s v="3 - Moderately important"/>
    <n v="3"/>
    <s v="5 - Very important"/>
    <n v="5"/>
    <s v="5 - Very important"/>
    <n v="5"/>
    <n v="4"/>
    <s v="Video ads"/>
  </r>
  <r>
    <x v="1"/>
    <s v="Male"/>
    <x v="0"/>
    <x v="1"/>
    <x v="0"/>
    <n v="0"/>
    <n v="1"/>
    <n v="0"/>
    <n v="0"/>
    <x v="1"/>
    <s v="Sometimes"/>
    <n v="3"/>
    <s v="Yes"/>
    <s v="Occasionally"/>
    <n v="4"/>
    <n v="4"/>
    <s v="5 - Very important"/>
    <n v="5"/>
    <s v="5 - Very important"/>
    <n v="5"/>
    <s v="1 - Not important at all"/>
    <n v="1"/>
    <s v="5 - Very important"/>
    <n v="5"/>
    <s v="5 - Very important"/>
    <n v="5"/>
    <n v="3"/>
    <s v="Promotional posts (discounts, giveaways)"/>
  </r>
  <r>
    <x v="0"/>
    <s v="Female"/>
    <x v="0"/>
    <x v="6"/>
    <x v="1"/>
    <n v="1"/>
    <n v="1"/>
    <n v="0"/>
    <n v="1"/>
    <x v="3"/>
    <s v="Occasionally"/>
    <n v="2"/>
    <s v="Yes"/>
    <s v="Sometimes"/>
    <n v="3"/>
    <n v="3"/>
    <s v="5 - Very important"/>
    <n v="5"/>
    <s v="5 - Very important"/>
    <n v="5"/>
    <s v="5 - Very important"/>
    <n v="5"/>
    <s v="5 - Very important"/>
    <n v="5"/>
    <s v="5 - Very important"/>
    <n v="5"/>
    <n v="3"/>
    <s v="Promotional posts (discounts, giveaways)"/>
  </r>
  <r>
    <x v="1"/>
    <s v="Female"/>
    <x v="0"/>
    <x v="7"/>
    <x v="1"/>
    <n v="0"/>
    <n v="1"/>
    <n v="1"/>
    <n v="1"/>
    <x v="0"/>
    <s v="Occasionally"/>
    <n v="2"/>
    <s v="Yes"/>
    <s v="Occasionally"/>
    <n v="3"/>
    <n v="3"/>
    <s v="5 - Very important"/>
    <n v="5"/>
    <s v="5 - Very important"/>
    <n v="5"/>
    <s v="3 - Moderately important"/>
    <n v="3"/>
    <s v="5 - Very important"/>
    <n v="5"/>
    <s v="5 - Very important"/>
    <n v="5"/>
    <n v="4"/>
    <s v="Video ads"/>
  </r>
  <r>
    <x v="1"/>
    <s v="Male"/>
    <x v="1"/>
    <x v="3"/>
    <x v="0"/>
    <n v="0"/>
    <n v="1"/>
    <n v="1"/>
    <n v="0"/>
    <x v="0"/>
    <s v="Never"/>
    <n v="1"/>
    <s v="Yes"/>
    <s v="Occasionally"/>
    <n v="4"/>
    <n v="4"/>
    <s v="5 - Very important"/>
    <n v="5"/>
    <s v="4 - Important"/>
    <n v="4"/>
    <s v="4 - Important"/>
    <n v="4"/>
    <s v="4 - Important"/>
    <n v="4"/>
    <s v="5 - Very important"/>
    <n v="5"/>
    <n v="4"/>
    <s v="Promotional posts (discounts, giveaways)"/>
  </r>
  <r>
    <x v="0"/>
    <s v="Female"/>
    <x v="0"/>
    <x v="6"/>
    <x v="1"/>
    <n v="1"/>
    <n v="1"/>
    <n v="0"/>
    <n v="1"/>
    <x v="0"/>
    <s v="Often"/>
    <n v="4"/>
    <s v="Yes"/>
    <s v="Occasionally"/>
    <n v="4"/>
    <n v="5"/>
    <s v="5 - Very important"/>
    <n v="5"/>
    <s v="4 - Important"/>
    <n v="4"/>
    <s v="5 - Very important"/>
    <n v="5"/>
    <s v="4 - Important"/>
    <n v="4"/>
    <s v="4 - Important"/>
    <n v="4"/>
    <n v="4"/>
    <s v="Promotional posts (discounts, giveaways)"/>
  </r>
  <r>
    <x v="2"/>
    <s v="Male"/>
    <x v="2"/>
    <x v="0"/>
    <x v="0"/>
    <n v="1"/>
    <n v="1"/>
    <n v="0"/>
    <n v="0"/>
    <x v="1"/>
    <s v="Occasionally"/>
    <n v="2"/>
    <s v="No"/>
    <s v="Occasionally"/>
    <n v="4"/>
    <n v="4"/>
    <s v="4 - Important"/>
    <n v="4"/>
    <s v="5 - Very important"/>
    <n v="5"/>
    <s v="4 - Important"/>
    <n v="4"/>
    <s v="4 - Important"/>
    <n v="4"/>
    <s v="5 - Very important"/>
    <n v="5"/>
    <n v="4"/>
    <s v="Promotional posts (discounts, giveaways)"/>
  </r>
  <r>
    <x v="1"/>
    <s v="Male"/>
    <x v="1"/>
    <x v="1"/>
    <x v="0"/>
    <n v="0"/>
    <n v="1"/>
    <n v="0"/>
    <n v="0"/>
    <x v="0"/>
    <s v="Occasionally"/>
    <n v="2"/>
    <s v="Yes"/>
    <s v="Sometimes"/>
    <n v="4"/>
    <n v="4"/>
    <s v="5 - Very important"/>
    <n v="5"/>
    <s v="4 - Important"/>
    <n v="4"/>
    <s v="4 - Important"/>
    <n v="4"/>
    <s v="4 - Important"/>
    <n v="4"/>
    <s v="5 - Very important"/>
    <n v="5"/>
    <n v="4"/>
    <s v="Promotional posts (discounts, giveaways)"/>
  </r>
  <r>
    <x v="2"/>
    <s v="Male"/>
    <x v="3"/>
    <x v="8"/>
    <x v="0"/>
    <n v="0"/>
    <n v="0"/>
    <n v="0"/>
    <n v="0"/>
    <x v="1"/>
    <s v="Occasionally"/>
    <n v="2"/>
    <s v="No"/>
    <s v="Occasionally"/>
    <n v="5"/>
    <n v="3"/>
    <s v="4 - Important"/>
    <n v="4"/>
    <s v="4 - Important"/>
    <n v="4"/>
    <s v="4 - Important"/>
    <n v="4"/>
    <s v="5 - Very important"/>
    <n v="5"/>
    <s v="5 - Very important"/>
    <n v="5"/>
    <n v="3"/>
    <s v="Influencer content"/>
  </r>
  <r>
    <x v="1"/>
    <s v="Male"/>
    <x v="1"/>
    <x v="9"/>
    <x v="1"/>
    <n v="1"/>
    <n v="0"/>
    <n v="1"/>
    <n v="1"/>
    <x v="2"/>
    <s v="Sometimes"/>
    <n v="3"/>
    <s v="Yes"/>
    <s v="Sometimes"/>
    <n v="4"/>
    <n v="4"/>
    <s v="5 - Very important"/>
    <n v="5"/>
    <s v="5 - Very important"/>
    <n v="5"/>
    <s v="5 - Very important"/>
    <n v="5"/>
    <s v="4 - Important"/>
    <n v="4"/>
    <s v="5 - Very important"/>
    <n v="5"/>
    <n v="4"/>
    <s v="Promotional posts (discounts, giveaways)"/>
  </r>
  <r>
    <x v="1"/>
    <s v="Male"/>
    <x v="0"/>
    <x v="1"/>
    <x v="0"/>
    <n v="0"/>
    <n v="1"/>
    <n v="0"/>
    <n v="0"/>
    <x v="0"/>
    <s v="Occasionally"/>
    <n v="2"/>
    <s v="Yes"/>
    <s v="Often"/>
    <n v="3"/>
    <n v="3"/>
    <s v="5 - Very important"/>
    <n v="5"/>
    <s v="5 - Very important"/>
    <n v="5"/>
    <s v="3 - Moderately important"/>
    <n v="3"/>
    <s v="5 - Very important"/>
    <n v="5"/>
    <s v="5 - Very important"/>
    <n v="5"/>
    <n v="3"/>
    <s v="Promotional posts (discounts, giveaways)"/>
  </r>
  <r>
    <x v="1"/>
    <s v="Female"/>
    <x v="1"/>
    <x v="0"/>
    <x v="0"/>
    <n v="1"/>
    <n v="1"/>
    <n v="0"/>
    <n v="0"/>
    <x v="0"/>
    <s v="Occasionally"/>
    <n v="2"/>
    <s v="Yes"/>
    <s v="Sometimes"/>
    <n v="5"/>
    <n v="5"/>
    <s v="5 - Very important"/>
    <n v="5"/>
    <s v="5 - Very important"/>
    <n v="5"/>
    <s v="5 - Very important"/>
    <n v="5"/>
    <s v="5 - Very important"/>
    <n v="5"/>
    <s v="5 - Very important"/>
    <n v="5"/>
    <n v="5"/>
    <s v="Video ad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n v="25"/>
  </r>
  <r>
    <x v="0"/>
    <x v="1"/>
    <n v="5"/>
  </r>
  <r>
    <x v="1"/>
    <x v="0"/>
    <n v="15"/>
  </r>
  <r>
    <x v="1"/>
    <x v="1"/>
    <n v="1"/>
  </r>
  <r>
    <x v="2"/>
    <x v="0"/>
    <n v="27"/>
  </r>
  <r>
    <x v="2"/>
    <x v="1"/>
    <n v="19"/>
  </r>
  <r>
    <x v="3"/>
    <x v="0"/>
    <n v="8"/>
  </r>
  <r>
    <x v="3"/>
    <x v="1"/>
    <n v="5"/>
  </r>
  <r>
    <x v="4"/>
    <x v="0"/>
    <n v="6"/>
  </r>
  <r>
    <x v="4"/>
    <x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CD632B3-CAA3-4087-B853-AC8EE821420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rowHeaderCaption="Age Group">
  <location ref="H19:I23" firstHeaderRow="1" firstDataRow="1" firstDataCol="1"/>
  <pivotFields count="28">
    <pivotField axis="axisRow"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4">
    <i>
      <x/>
    </i>
    <i>
      <x v="1"/>
    </i>
    <i>
      <x v="2"/>
    </i>
    <i t="grand">
      <x/>
    </i>
  </rowItems>
  <colItems count="1">
    <i/>
  </colItems>
  <dataFields count="1">
    <dataField name="Trust Score" fld="14" subtotal="average" baseField="0" baseItem="0" numFmtId="164"/>
  </dataFields>
  <formats count="9">
    <format dxfId="36">
      <pivotArea type="all" dataOnly="0" outline="0" fieldPosition="0"/>
    </format>
    <format dxfId="35">
      <pivotArea outline="0" collapsedLevelsAreSubtotals="1" fieldPosition="0"/>
    </format>
    <format dxfId="34">
      <pivotArea outline="0" collapsedLevelsAreSubtotals="1" fieldPosition="0"/>
    </format>
    <format dxfId="33">
      <pivotArea type="all" dataOnly="0" outline="0" fieldPosition="0"/>
    </format>
    <format dxfId="32">
      <pivotArea outline="0" collapsedLevelsAreSubtotals="1" fieldPosition="0"/>
    </format>
    <format dxfId="31">
      <pivotArea field="0" type="button" dataOnly="0" labelOnly="1" outline="0" axis="axisRow" fieldPosition="0"/>
    </format>
    <format dxfId="30">
      <pivotArea dataOnly="0" labelOnly="1" fieldPosition="0">
        <references count="1">
          <reference field="0" count="0"/>
        </references>
      </pivotArea>
    </format>
    <format dxfId="29">
      <pivotArea dataOnly="0" labelOnly="1" grandRow="1" outline="0" fieldPosition="0"/>
    </format>
    <format dxfId="28">
      <pivotArea dataOnly="0" labelOnly="1" outline="0" axis="axisValues" fieldPosition="0"/>
    </format>
  </formats>
  <chartFormats count="2">
    <chartFormat chart="15"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596F00-7952-4FEA-9051-8C81B68C0A9F}"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M5:O12" firstHeaderRow="1" firstDataRow="2" firstDataCol="1"/>
  <pivotFields count="3">
    <pivotField axis="axisRow" showAll="0">
      <items count="6">
        <item x="0"/>
        <item x="1"/>
        <item x="2"/>
        <item x="4"/>
        <item x="3"/>
        <item t="default"/>
      </items>
    </pivotField>
    <pivotField axis="axisCol" showAll="0" sortType="descending">
      <items count="3">
        <item x="0"/>
        <item h="1" x="1"/>
        <item t="default"/>
      </items>
    </pivotField>
    <pivotField dataField="1" showAll="0"/>
  </pivotFields>
  <rowFields count="1">
    <field x="0"/>
  </rowFields>
  <rowItems count="6">
    <i>
      <x/>
    </i>
    <i>
      <x v="1"/>
    </i>
    <i>
      <x v="2"/>
    </i>
    <i>
      <x v="3"/>
    </i>
    <i>
      <x v="4"/>
    </i>
    <i t="grand">
      <x/>
    </i>
  </rowItems>
  <colFields count="1">
    <field x="1"/>
  </colFields>
  <colItems count="2">
    <i>
      <x/>
    </i>
    <i t="grand">
      <x/>
    </i>
  </colItems>
  <dataFields count="1">
    <dataField name="Sum of Count" fld="2" baseField="0" baseItem="0"/>
  </dataFields>
  <chartFormats count="4">
    <chartFormat chart="0" format="0" series="1">
      <pivotArea type="data" outline="0" fieldPosition="0">
        <references count="2">
          <reference field="4294967294" count="1" selected="0">
            <x v="0"/>
          </reference>
          <reference field="1" count="1" selected="0">
            <x v="1"/>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3" format="3" series="1">
      <pivotArea type="data" outline="0" fieldPosition="0">
        <references count="2">
          <reference field="4294967294" count="1" selected="0">
            <x v="0"/>
          </reference>
          <reference field="1" count="1" selected="0">
            <x v="1"/>
          </reference>
        </references>
      </pivotArea>
    </chartFormat>
    <chartFormat chart="3"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14</v>
  </rv>
</rvData>
</file>

<file path=xl/richData/rdrichvaluestructure.xml><?xml version="1.0" encoding="utf-8"?>
<rvStructures xmlns="http://schemas.microsoft.com/office/spreadsheetml/2017/richdata" count="1">
  <s t="_error">
    <k n="error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ic_Type" xr10:uid="{3C158879-4646-4A5E-A9DB-7E40E386B4D7}" sourceName="Metric Type">
  <pivotTables>
    <pivotTable tabId="2" name="PivotTable8"/>
  </pivotTables>
  <data>
    <tabular pivotCacheId="269174178">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ic Type" xr10:uid="{B6B61636-ED4A-4659-951B-185D609DE7B5}" cache="Slicer_Metric_Type" caption="Metric Type" style="SlicerStyleLight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ic Type 1" xr10:uid="{9421695E-7413-4C00-98AA-BE34EA8FD2FA}" cache="Slicer_Metric_Type" caption="Metric Type" columnCount="2" style="SlicerStyleLight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66B78D-6C46-4339-A0A4-0FBF0A053BD3}" name="Table8" displayName="Table8" ref="A1:Q32" totalsRowShown="0">
  <autoFilter ref="A1:Q32" xr:uid="{7F66B78D-6C46-4339-A0A4-0FBF0A053BD3}"/>
  <tableColumns count="17">
    <tableColumn id="1" xr3:uid="{942E4B1C-D3C3-4893-928C-5540C080BD14}" name="Timestamp"/>
    <tableColumn id="2" xr3:uid="{1D24D0B9-1E15-41FF-BC14-310B2D2C690B}" name="Age Group"/>
    <tableColumn id="3" xr3:uid="{6D1689B6-2935-4389-B6BA-563AF9F4AFED}" name="Gender"/>
    <tableColumn id="4" xr3:uid="{2498321D-1512-410C-9A51-7CAE8E31405F}" name="Social Media Usage Time"/>
    <tableColumn id="5" xr3:uid="{74DEAA58-F2D9-4687-87C9-1B9C3703DA0C}" name="Platforms the respondents use most often"/>
    <tableColumn id="6" xr3:uid="{737ABF54-9ED1-4B4B-90C7-C806B0ACFD58}" name="Platform with most effective ads"/>
    <tableColumn id="7" xr3:uid="{93238919-879C-4820-B0E8-31A6C3E39DDE}" name="Engagement frequency"/>
    <tableColumn id="8" xr3:uid="{91FCDF18-804A-486A-96B2-C8440FD19F60}" name="Discovered new brand/product through social media in the last 3 months"/>
    <tableColumn id="9" xr3:uid="{69811926-D25D-4699-86C8-FE27655D1380}" name="Purchase frequency after seeing an ad "/>
    <tableColumn id="10" xr3:uid="{61FFDF8C-84DF-4D3C-91D7-391350A6DF40}" name="Trust in ads"/>
    <tableColumn id="11" xr3:uid="{037443D5-0C66-4FC7-A6F8-08A59670860B}" name="Likelihood to recommend"/>
    <tableColumn id="12" xr3:uid="{304BFD7A-ABE1-4F45-BC3E-04270FC3921C}" name="Factors influencing purchase [Product quality]"/>
    <tableColumn id="13" xr3:uid="{46F9FDCD-2D53-4BBE-8847-6544EDD31B49}" name="Factors influencing purchase [Price and discounts]"/>
    <tableColumn id="14" xr3:uid="{64F91802-D8EA-4A00-8BAB-6CFFEF8B171C}" name="Factors influencing purchase [Influencer endorsements]"/>
    <tableColumn id="15" xr3:uid="{EA3E256F-100D-442C-B867-91D0DA1BB372}" name="Factors influencing purchase [Brand reputation]"/>
    <tableColumn id="16" xr3:uid="{24C8AF61-653A-40E8-BB4A-B595EDDD6228}" name="Factors influencing purchase [Online reviews]"/>
    <tableColumn id="17" xr3:uid="{6A61EB63-27C2-4296-A734-F0A0A8A4E1B1}" name="Type of ad that attracts the respondents the mos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8BA2F87-AB9D-40B8-AAA8-E3107DC0E764}" name="Table10" displayName="Table10" ref="A1:AF31" totalsRowShown="0" headerRowDxfId="70" dataDxfId="69">
  <autoFilter ref="A1:AF31" xr:uid="{78BA2F87-AB9D-40B8-AAA8-E3107DC0E764}"/>
  <tableColumns count="32">
    <tableColumn id="1" xr3:uid="{F7A6C9F8-5567-4FE0-B9BA-3A6783750D74}" name="Respondent ID"/>
    <tableColumn id="2" xr3:uid="{778931DD-DCAF-4BAA-B72B-C3091BFD5BC8}" name="Age Group" dataDxfId="68"/>
    <tableColumn id="3" xr3:uid="{ABD115B5-8126-4E04-A28E-5F65F15046E6}" name="Gender" dataDxfId="67"/>
    <tableColumn id="4" xr3:uid="{3F218D0D-3CCE-48EC-A772-C939F70D12B9}" name="Social Media Usage Time" dataDxfId="66"/>
    <tableColumn id="5" xr3:uid="{523617D6-7356-45AA-863F-699B9D5FBA12}" name="Platforms the respondents use most often" dataDxfId="65"/>
    <tableColumn id="6" xr3:uid="{4AEE0842-DAF4-4474-B26D-898432EC93C0}" name="Platform 1" dataDxfId="64"/>
    <tableColumn id="7" xr3:uid="{1CD6B795-F721-4F10-961D-BD4E33988FCA}" name="Platform 2"/>
    <tableColumn id="8" xr3:uid="{8D593CAD-E569-463E-A559-B6D5D9A9B5DB}" name="Platform 3"/>
    <tableColumn id="9" xr3:uid="{38BE28A5-1E7F-4F47-AFF7-317A4EE68854}" name="Facebook" dataDxfId="63">
      <calculatedColumnFormula>IF(ISNUMBER(SEARCH("Facebook",E2)),1,0)</calculatedColumnFormula>
    </tableColumn>
    <tableColumn id="10" xr3:uid="{AC2965AD-7670-423F-AF8B-0BCAA728D2F5}" name="Instagram" dataDxfId="62">
      <calculatedColumnFormula>IF(ISNUMBER(SEARCH("Instagram",E2)),1,0)</calculatedColumnFormula>
    </tableColumn>
    <tableColumn id="11" xr3:uid="{5D33C01E-D2F5-4C59-B145-B602885A48ED}" name="TikTok" dataDxfId="61">
      <calculatedColumnFormula>IF(ISNUMBER(SEARCH("TikTok",E2)),1,0)</calculatedColumnFormula>
    </tableColumn>
    <tableColumn id="12" xr3:uid="{9DC6A478-8B4F-49E4-AAB8-03413FC7A5FD}" name="YouTube " dataDxfId="60">
      <calculatedColumnFormula>IF(ISNUMBER(SEARCH("YouTube",E2)),1,0)</calculatedColumnFormula>
    </tableColumn>
    <tableColumn id="13" xr3:uid="{A140CC0B-612E-411A-9038-FA911A60CD2D}" name="X (Twitter)" dataDxfId="59">
      <calculatedColumnFormula>IF(ISNUMBER(SEARCH("X (Twitter)",E2)),1,0)</calculatedColumnFormula>
    </tableColumn>
    <tableColumn id="14" xr3:uid="{347970D1-9F99-41A3-B415-A5E916108006}" name="Platform with most effective ads" dataDxfId="58"/>
    <tableColumn id="15" xr3:uid="{A0AED322-F902-41B5-A485-56B471456213}" name="Engagement frequency" dataDxfId="57"/>
    <tableColumn id="16" xr3:uid="{6239BD4D-25A9-4F84-BF2F-8C984ABEC1B8}" name="Engagement frequency2" dataDxfId="56">
      <calculatedColumnFormula array="1">_xlfn.SWITCH(O2,
"Never",1,
"Occasionally",2,
"Sometimes",3,
"Often",4,
"Always",5)</calculatedColumnFormula>
    </tableColumn>
    <tableColumn id="17" xr3:uid="{9720C91A-08FA-43D1-8545-14ED777DE5D0}" name="Discovered new brand/product through social media in the last 3 months" dataDxfId="55"/>
    <tableColumn id="18" xr3:uid="{489A6368-6408-4288-9065-10E019E0C30E}" name="Purchase frequency after seeing an ad" dataDxfId="54"/>
    <tableColumn id="19" xr3:uid="{24ABEA85-1AC5-49DA-8B44-655D7BA9BD1A}" name="Purchase frequency after seeing an ad3" dataDxfId="53">
      <calculatedColumnFormula array="1">_xlfn.SWITCH(R2,
"Never",1,
"Occasionally",2,
"Sometimes",3,
"Often",4,
"Always",5)</calculatedColumnFormula>
    </tableColumn>
    <tableColumn id="20" xr3:uid="{C3461071-88A4-45FB-BE61-F9E5BB4415A6}" name="Trust in ads" dataDxfId="52"/>
    <tableColumn id="21" xr3:uid="{4CEEEB03-2412-4314-B787-26AE23B8EABE}" name="Likelihood to recommend" dataDxfId="51"/>
    <tableColumn id="22" xr3:uid="{21806276-EC21-456A-A880-6175CF9EA944}" name="Factors influencing purchase [Product quality]" dataDxfId="50"/>
    <tableColumn id="23" xr3:uid="{FF5A9EA5-4094-4FC8-A464-8826EDCB7BD0}" name="Product quality" dataDxfId="49">
      <calculatedColumnFormula array="1">_xlfn.SWITCH(V2,
"1 - Not important at all",1,
"2 - Slightly important",2,
"3 - Moderately important",3,
"4 - Important",4,
"5 - Very important",5)</calculatedColumnFormula>
    </tableColumn>
    <tableColumn id="24" xr3:uid="{B38EB5CD-D39A-4255-9DBF-4ADB80F9BEFB}" name="Factors influencing purchase [Price and discounts]" dataDxfId="48"/>
    <tableColumn id="25" xr3:uid="{0BEE3F1B-56A7-4E4E-B745-0903539DA554}" name="Price and discounts" dataDxfId="47">
      <calculatedColumnFormula array="1">_xlfn.SWITCH(X2,
"1 - Not important at all",1,
"2 - Slightly important",2,
"3 - Moderately important",3,
"4 - Important",4,
"5 - Very important",5)</calculatedColumnFormula>
    </tableColumn>
    <tableColumn id="26" xr3:uid="{2120318D-684E-450F-ABDF-C95A72764719}" name="Factors influencing purchase [Influencer endorsements]" dataDxfId="46"/>
    <tableColumn id="27" xr3:uid="{F9D5CB3E-1DFB-47B7-9E56-AAB3E9C85EB8}" name="Influencer endorsements" dataDxfId="45">
      <calculatedColumnFormula array="1">_xlfn.SWITCH(Z2,
"1 - Not important at all",1,
"2 - Slightly important",2,
"3 - Moderately important",3,
"4 - Important",4,
"5 - Very important",5)</calculatedColumnFormula>
    </tableColumn>
    <tableColumn id="28" xr3:uid="{599C0FDE-A67C-4467-8402-938B25B4B828}" name="Factors influencing purchase [Brand reputation]" dataDxfId="44"/>
    <tableColumn id="29" xr3:uid="{F4114A1E-A604-4433-825F-87E2676C10BF}" name="Brand reputation" dataDxfId="43">
      <calculatedColumnFormula array="1">_xlfn.SWITCH(AB2,
"1 - Not important at all",1,
"2 - Slightly important",2,
"3 - Moderately important",3,
"4 - Important",4,
"5 - Very important",5)</calculatedColumnFormula>
    </tableColumn>
    <tableColumn id="30" xr3:uid="{84F61A2B-7119-48E9-BD8C-BF1E4447ED55}" name="Factors influencing purchase [Online reviews]" dataDxfId="42"/>
    <tableColumn id="31" xr3:uid="{08303B50-2737-45C8-A616-9BE333BE8B31}" name="Online reviews" dataDxfId="41">
      <calculatedColumnFormula array="1">_xlfn.SWITCH(AD2,
"1 - Not important at all",1,
"2 - Slightly important",2,
"3 - Moderately important",3,
"4 - Important",4,
"5 - Very important",5)</calculatedColumnFormula>
    </tableColumn>
    <tableColumn id="32" xr3:uid="{63E575A7-CEEC-4BD7-A238-0A77ADE29EA9}" name="Type of ad that attracts the respondents the most" dataDxfId="40"/>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591EC1-2FF3-47A5-ACA6-85B96DAF334E}" name="Table1" displayName="Table1" ref="E5:G10" totalsRowShown="0" headerRowDxfId="27" dataDxfId="26">
  <autoFilter ref="E5:G10" xr:uid="{73591EC1-2FF3-47A5-ACA6-85B96DAF334E}"/>
  <tableColumns count="3">
    <tableColumn id="1" xr3:uid="{16E5CE1A-5826-4343-9B28-DC1EF805496C}" name="Platforms" dataDxfId="25"/>
    <tableColumn id="2" xr3:uid="{A6CD7752-73CB-4B91-9F35-7DB026B07ED1}" name="Users Count" dataDxfId="24"/>
    <tableColumn id="3" xr3:uid="{A5BEBEF5-76D5-4B45-9DE4-6D08BFA41FD3}" name="Most Effective Count" dataDxfId="23"/>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079023-D105-431A-BADB-99491FE968D5}" name="Table2" displayName="Table2" ref="E14:F19" totalsRowShown="0" headerRowDxfId="22" dataDxfId="21">
  <autoFilter ref="E14:F19" xr:uid="{AE079023-D105-431A-BADB-99491FE968D5}"/>
  <tableColumns count="2">
    <tableColumn id="1" xr3:uid="{6DB9A378-0DA8-4DC6-986E-6B20745C616C}" name="Factors" dataDxfId="20"/>
    <tableColumn id="2" xr3:uid="{A150C023-A7C1-4835-B1B5-FC739937351F}" name="Average Rating per factor" dataDxfId="19"/>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2CFF86A-A7CC-4E51-8D0E-B45C7DD0921A}" name="Table4" displayName="Table4" ref="E38:H68" totalsRowShown="0" headerRowDxfId="18" dataDxfId="17">
  <autoFilter ref="E38:H68" xr:uid="{32CFF86A-A7CC-4E51-8D0E-B45C7DD0921A}"/>
  <tableColumns count="4">
    <tableColumn id="1" xr3:uid="{B01FA709-3558-41B6-B8EE-D44121313853}" name="Respondent" dataDxfId="16"/>
    <tableColumn id="2" xr3:uid="{B8375BEC-DF1A-4386-AF7C-C93218E11D05}" name="Engagement Index" dataDxfId="15"/>
    <tableColumn id="3" xr3:uid="{78917A16-FA12-403A-8B90-91D378A49B63}" name="Purchase Index" dataDxfId="14"/>
    <tableColumn id="4" xr3:uid="{113E65C3-EA15-46CF-962B-76B77840B427}" name="Trust in ads" dataDxfId="13"/>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9AA6BC-22B3-4202-A8AB-A9FCA4C1B474}" name="Table5" displayName="Table5" ref="E23:F26" totalsRowShown="0" headerRowDxfId="12" dataDxfId="11">
  <autoFilter ref="E23:F26" xr:uid="{979AA6BC-22B3-4202-A8AB-A9FCA4C1B474}"/>
  <tableColumns count="2">
    <tableColumn id="1" xr3:uid="{5D0B9F02-F27B-4490-90F1-79B3D163A743}" name="Social Media Usage Time" dataDxfId="10"/>
    <tableColumn id="2" xr3:uid="{016C6B88-4402-4621-8DE6-A1CBD9155138}" name="Count" dataDxfId="9"/>
  </tableColumns>
  <tableStyleInfo name="TableStyleMedium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391429B-D6AE-4F50-B647-FD3E9D21E60D}" name="Table6" displayName="Table6" ref="E31:F35" totalsRowShown="0" headerRowDxfId="8" dataDxfId="7">
  <autoFilter ref="E31:F35" xr:uid="{F391429B-D6AE-4F50-B647-FD3E9D21E60D}"/>
  <tableColumns count="2">
    <tableColumn id="1" xr3:uid="{DF95DEAC-3912-422C-A978-528D54C7D1AF}" name="Ad Type" dataDxfId="6"/>
    <tableColumn id="2" xr3:uid="{9EFB87AD-1B28-4157-9706-4A26B116E2E1}" name="Count" dataDxfId="5"/>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429D61B-14BF-49FE-8AFF-932504FF1D8E}" name="Table7" displayName="Table7" ref="I5:K15" totalsRowShown="0" headerRowDxfId="4" dataDxfId="3">
  <autoFilter ref="I5:K15" xr:uid="{6429D61B-14BF-49FE-8AFF-932504FF1D8E}"/>
  <tableColumns count="3">
    <tableColumn id="1" xr3:uid="{8326A23E-8B0E-47D1-9186-D132297111F8}" name="Platform" dataDxfId="2"/>
    <tableColumn id="2" xr3:uid="{55AAB0DD-E560-488F-A6F1-1B9A245D5945}" name="Metric Type" dataDxfId="1"/>
    <tableColumn id="3" xr3:uid="{A4948A94-AA22-432E-A91F-E4AB50AC756A}" name="Count"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19C9DC-2F4A-4D28-9BBE-2C2BDBC656D8}">
  <we:reference id="wa200007447" version="1.0.0.0" store="en-001" storeType="OMEX"/>
  <we:alternateReferences>
    <we:reference id="WA200007447" version="1.0.0.0" store="WA200007447" storeType="OMEX"/>
  </we:alternateReferences>
  <we:properties>
    <we:property name="ai_ask" value="{&quot;name&quot;:&quot;ai_ask&quot;,&quot;code&quot;:&quot;import requests\nimport json\n \ndef ai_ask(prompt, data=None, temperature=0.5, max_tokens=250, model=\&quot;mistral-small-latest\&quot;, api_key=None, api_url=\&quot;https:\/\/api.mistral.ai\/v1\/chat\/completions\&quot;):\n    \&quot;\&quot;\&quot;\n    Generate a text response using an AI model based on a prompt and optional tabular data.\n \n    This function sends a prompt and optional 2D list data to a Mistral AI-compatible API endpoint and returns the generated response as a string. It is designed for use as a custom Excel function for text analysis, summarization, or business writing.\n \n    This example function is provided as-is without any representation of accuracy.\n \n    Args:\n        prompt (str): The question, instruction, or task for the AI model.\n        data (list[list], optional): 2D list (Excel range) to provide additional context. Default is None.\n        temperature (float, optional): Controls randomness\/creativity (0.0 to 2.0). Default is 0.5.\n        max_tokens (float, optional): Maximum number of tokens to generate (5 to 5000). Default is 250.\n        model (str, optional): Model ID to use. Default is \&quot;mistral-small-latest\&quot;.\n        api_key (str, optional): API key for authentication. Default is None.\n        api_url (str, optional): OpenAI-compatible API endpoint URL. Default is \&quot;https:\/\/api.mistral.ai\/v1\/chat\/completions\&quot;.\n \n    Returns:\n        str: The AI-generated response, or an error message if the request fails or parameters are invalid.\n    \&quot;\&quot;\&quot;\n    if api_key is None or api_url is None:\n        if \&quot;idToken\&quot; in globals():\n            api_key = globals()[\&quot;idToken\&quot;]\n            api_url = \&quot;https:\/\/llm.boardflare.com\&quot;\n        else:\n            return \&quot;Login on the Functions tab for limited demo usage, or sign up for a free Mistral AI account at https:\/\/console.mistral.ai\/ and add your own api_key.\&quot;\n \n    if not isinstance(temperature, (float, int)) or not (0 &lt;= float(temperature) &lt;= 2):\n        return \&quot;Error: temperature must be a float between 0 and 2 (inclusive)\&quot;\n    if not isinstance(max_tokens, (float, int)) or not (5 &lt;= float(max_tokens) &lt;= 5000):\n        return \&quot;Error: max_tokens must be a number between 5 and 5000 (inclusive)\&quot;\n \n    # Construct the message incorporating both prompt and data if provided\n    message = prompt\n    if data is not None:\n        data_str = json.dumps(data, indent=2)\n        message += f\&quot;\\n\\nData to analyze:\\n{data_str}\&quot;\n \n    # Prepare the API request payload\n    payload = {\n        \&quot;messages\&quot;: [{\&quot;role\&quot;: \&quot;user\&quot;, \&quot;content\&quot;: message}],\n        \&quot;temperature\&quot;: float(temperature),\n        \&quot;model\&quot;: model,\n        \&quot;max_tokens\&quot;: int(max_tokens)\n    }\n    headers = {\n        \&quot;Authorization\&quot;: f\&quot;Bearer {api_key}\&quot;,\n        \&quot;Content-Type\&quot;: \&quot;application\/json\&quot;,\n        \&quot;Accept\&quot;: \&quot;application\/json\&quot;\n    }\n \n    # Make the API request\n    response = requests.post(api_url, headers=headers, json=payload)\n    if response.status_code == 429:\n        return \&quot;You have hit the rate limit for the API. Please try again later.\&quot;\n    try:\n        response.raise_for_status()\n        response_data = response.json()\n        content = response_data[\&quot;choices\&quot;][0][\&quot;message\&quot;][\&quot;content\&quot;]\n        return content\n    except Exception as e:\n        return f\&quot;Error: {str(e)}\&quot;&quot;,&quot;options&quot;:{},&quot;signature&quot;:&quot;AI_ASK(prompt, [data], [temperature], [max_tokens], [model], [api_key], [api_url])&quot;,&quot;description&quot;:&quot;Generate a text response using an AI model based on a prompt and optional tabular data.&quot;,&quot;resultLine&quot;:&quot;\n\nresult = ai_ask(**{k: v for k, v in [(\&quot;prompt\&quot;, arg1 if arg1 != \&quot;__OMITTED__\&quot; else None), (\&quot;data\&quot;, arg2 if arg2 != \&quot;__OMITTED__\&quot; else None), (\&quot;temperature\&quot;, arg3 if arg3 != \&quot;__OMITTED__\&quot; else None), (\&quot;max_tokens\&quot;, arg4 if arg4 != \&quot;__OMITTED__\&quot; else None), (\&quot;model\&quot;, arg5 if arg5 != \&quot;__OMITTED__\&quot; else None), (\&quot;api_key\&quot;, arg6 if arg6 != \&quot;__OMITTED__\&quot; else None), (\&quot;api_url\&quot;, arg7 if arg7 != \&quot;__OMITTED__\&quot; else None)] if v is not None})&quot;,&quot;formula&quot;:&quot;=LAMBDA(prompt,[data],[temperature],[max_tokens],[model],[api_key],[api_url], BOARDFLARE.EXEC(\&quot;ai_ask\&quot;,prompt,IF(ISOMITTED(data), \&quot;__OMITTED__\&quot;, data),IF(ISOMITTED(temperature), \&quot;__OMITTED__\&quot;, temperature),IF(ISOMITTED(max_tokens), \&quot;__OMITTED__\&quot;, max_tokens),IF(ISOMITTED(model), \&quot;__OMITTED__\&quot;, model),IF(ISOMITTED(api_key), \&quot;__OMITTED__\&quot;, api_key),IF(ISOMITTED(api_url), \&quot;__OMITTED__\&quot;, api_url)))&quot;,&quot;execFormula&quot;:&quot;=BOARDFLARE.EXEC(\&quot;ai_ask\&quot;, arg1,arg2,arg3,arg4,arg5,arg6,arg7)&quot;,&quot;timestamp&quot;:&quot;2025-11-27T13:08:36.439Z&quot;,&quot;uid&quot;:&quot;anonymous&quot;,&quot;parameters&quot;:[{&quot;name&quot;:&quot;prompt&quot;},{&quot;name&quot;:&quot;data&quot;,&quot;has_default&quot;:true,&quot;default&quot;:&quot;None&quot;},{&quot;name&quot;:&quot;temperature&quot;,&quot;has_default&quot;:true,&quot;default&quot;:&quot;0.5&quot;},{&quot;name&quot;:&quot;max_tokens&quot;,&quot;has_default&quot;:true,&quot;default&quot;:&quot;250&quot;},{&quot;name&quot;:&quot;model&quot;,&quot;has_default&quot;:true,&quot;default&quot;:&quot;'mistral-small-latest'&quot;},{&quot;name&quot;:&quot;api_key&quot;,&quot;has_default&quot;:true,&quot;default&quot;:&quot;None&quot;},{&quot;name&quot;:&quot;api_url&quot;,&quot;has_default&quot;:true,&quot;default&quot;:&quot;'https:\/\/api.mistral.ai\/v1\/chat\/completions'&quot;}],&quot;imports&quot;:[&quot;json&quot;,&quot;requests&quot;],&quot;external_packages&quot;:[],&quot;noName&quot;:true}"/>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_xldudf_BOARDFLARE_RUNPY</we:customFunctionIds>
        <we:customFunctionIds>_xldudf_BOARDFLARE_EXEC</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drawing" Target="../drawings/drawing2.xml"/><Relationship Id="rId7" Type="http://schemas.openxmlformats.org/officeDocument/2006/relationships/table" Target="../tables/table6.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5.xml"/><Relationship Id="rId5" Type="http://schemas.openxmlformats.org/officeDocument/2006/relationships/table" Target="../tables/table4.xml"/><Relationship Id="rId10" Type="http://schemas.microsoft.com/office/2007/relationships/slicer" Target="../slicers/slicer1.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4B63B-2512-4F99-AF70-766E3DC324A1}">
  <sheetPr codeName="Sheet1"/>
  <dimension ref="A1:Q31"/>
  <sheetViews>
    <sheetView workbookViewId="0">
      <selection activeCell="A33" sqref="A33"/>
    </sheetView>
  </sheetViews>
  <sheetFormatPr defaultRowHeight="14.4"/>
  <cols>
    <col min="1" max="1" width="16" customWidth="1"/>
    <col min="2" max="2" width="12.77734375" customWidth="1"/>
    <col min="3" max="3" width="11.33203125" customWidth="1"/>
    <col min="4" max="4" width="23.6640625" customWidth="1"/>
    <col min="5" max="5" width="38.109375" customWidth="1"/>
    <col min="6" max="6" width="30.109375" customWidth="1"/>
    <col min="7" max="7" width="23.33203125" customWidth="1"/>
    <col min="8" max="8" width="57.109375" customWidth="1"/>
    <col min="9" max="9" width="35.33203125" customWidth="1"/>
    <col min="10" max="10" width="14.5546875" customWidth="1"/>
    <col min="11" max="11" width="24.44140625" customWidth="1"/>
    <col min="12" max="12" width="41.44140625" customWidth="1"/>
    <col min="13" max="13" width="44.77734375" customWidth="1"/>
    <col min="14" max="14" width="49.5546875" customWidth="1"/>
    <col min="15" max="15" width="42.88671875" customWidth="1"/>
    <col min="16" max="16" width="40.77734375" customWidth="1"/>
    <col min="17" max="17" width="44.44140625" customWidth="1"/>
  </cols>
  <sheetData>
    <row r="1" spans="1:17">
      <c r="A1" t="s">
        <v>0</v>
      </c>
      <c r="B1" t="s">
        <v>69</v>
      </c>
      <c r="C1" t="s">
        <v>70</v>
      </c>
      <c r="D1" t="s">
        <v>71</v>
      </c>
      <c r="E1" t="s">
        <v>84</v>
      </c>
      <c r="F1" t="s">
        <v>72</v>
      </c>
      <c r="G1" t="s">
        <v>73</v>
      </c>
      <c r="H1" t="s">
        <v>83</v>
      </c>
      <c r="I1" t="s">
        <v>74</v>
      </c>
      <c r="J1" t="s">
        <v>75</v>
      </c>
      <c r="K1" t="s">
        <v>76</v>
      </c>
      <c r="L1" t="s">
        <v>77</v>
      </c>
      <c r="M1" t="s">
        <v>78</v>
      </c>
      <c r="N1" t="s">
        <v>79</v>
      </c>
      <c r="O1" t="s">
        <v>80</v>
      </c>
      <c r="P1" t="s">
        <v>81</v>
      </c>
      <c r="Q1" t="s">
        <v>82</v>
      </c>
    </row>
    <row r="2" spans="1:17">
      <c r="A2" t="s">
        <v>1</v>
      </c>
      <c r="B2" t="s">
        <v>2</v>
      </c>
      <c r="C2" t="s">
        <v>3</v>
      </c>
      <c r="D2" t="s">
        <v>4</v>
      </c>
      <c r="E2" t="s">
        <v>5</v>
      </c>
      <c r="F2" t="s">
        <v>6</v>
      </c>
      <c r="G2" t="s">
        <v>7</v>
      </c>
      <c r="H2" t="s">
        <v>8</v>
      </c>
      <c r="I2" t="s">
        <v>9</v>
      </c>
      <c r="J2">
        <v>3</v>
      </c>
      <c r="K2">
        <v>4</v>
      </c>
      <c r="L2" t="s">
        <v>10</v>
      </c>
      <c r="M2" t="s">
        <v>10</v>
      </c>
      <c r="N2" t="s">
        <v>11</v>
      </c>
      <c r="O2" t="s">
        <v>12</v>
      </c>
      <c r="P2" t="s">
        <v>10</v>
      </c>
      <c r="Q2" t="s">
        <v>13</v>
      </c>
    </row>
    <row r="3" spans="1:17">
      <c r="A3" t="s">
        <v>14</v>
      </c>
      <c r="B3" t="s">
        <v>15</v>
      </c>
      <c r="C3" t="s">
        <v>3</v>
      </c>
      <c r="D3" t="s">
        <v>4</v>
      </c>
      <c r="E3" t="s">
        <v>5</v>
      </c>
      <c r="F3" t="s">
        <v>6</v>
      </c>
      <c r="G3" t="s">
        <v>7</v>
      </c>
      <c r="H3" t="s">
        <v>8</v>
      </c>
      <c r="I3" t="s">
        <v>7</v>
      </c>
      <c r="J3">
        <v>4</v>
      </c>
      <c r="K3">
        <v>4</v>
      </c>
      <c r="L3" t="s">
        <v>10</v>
      </c>
      <c r="M3" t="s">
        <v>12</v>
      </c>
      <c r="N3" t="s">
        <v>12</v>
      </c>
      <c r="O3" t="s">
        <v>10</v>
      </c>
      <c r="P3" t="s">
        <v>10</v>
      </c>
      <c r="Q3" t="s">
        <v>16</v>
      </c>
    </row>
    <row r="4" spans="1:17">
      <c r="A4" t="s">
        <v>17</v>
      </c>
      <c r="B4" t="s">
        <v>15</v>
      </c>
      <c r="C4" t="s">
        <v>18</v>
      </c>
      <c r="D4" t="s">
        <v>4</v>
      </c>
      <c r="E4" t="s">
        <v>5</v>
      </c>
      <c r="F4" t="s">
        <v>6</v>
      </c>
      <c r="G4" t="s">
        <v>7</v>
      </c>
      <c r="H4" t="s">
        <v>8</v>
      </c>
      <c r="I4" t="s">
        <v>7</v>
      </c>
      <c r="J4">
        <v>3</v>
      </c>
      <c r="K4">
        <v>4</v>
      </c>
      <c r="L4" t="s">
        <v>19</v>
      </c>
      <c r="M4" t="s">
        <v>11</v>
      </c>
      <c r="N4" t="s">
        <v>19</v>
      </c>
      <c r="O4" t="s">
        <v>12</v>
      </c>
      <c r="P4" t="s">
        <v>11</v>
      </c>
      <c r="Q4" t="s">
        <v>13</v>
      </c>
    </row>
    <row r="5" spans="1:17">
      <c r="A5" t="s">
        <v>20</v>
      </c>
      <c r="B5" t="s">
        <v>2</v>
      </c>
      <c r="C5" t="s">
        <v>3</v>
      </c>
      <c r="D5" t="s">
        <v>4</v>
      </c>
      <c r="E5" t="s">
        <v>21</v>
      </c>
      <c r="F5" t="s">
        <v>6</v>
      </c>
      <c r="G5" t="s">
        <v>22</v>
      </c>
      <c r="H5" t="s">
        <v>8</v>
      </c>
      <c r="I5" t="s">
        <v>9</v>
      </c>
      <c r="J5">
        <v>3</v>
      </c>
      <c r="K5">
        <v>3</v>
      </c>
      <c r="L5" t="s">
        <v>10</v>
      </c>
      <c r="M5" t="s">
        <v>10</v>
      </c>
      <c r="N5" t="s">
        <v>19</v>
      </c>
      <c r="O5" t="s">
        <v>10</v>
      </c>
      <c r="P5" t="s">
        <v>10</v>
      </c>
      <c r="Q5" t="s">
        <v>13</v>
      </c>
    </row>
    <row r="6" spans="1:17">
      <c r="A6" t="s">
        <v>23</v>
      </c>
      <c r="B6" t="s">
        <v>2</v>
      </c>
      <c r="C6" t="s">
        <v>3</v>
      </c>
      <c r="D6" t="s">
        <v>24</v>
      </c>
      <c r="E6" t="s">
        <v>21</v>
      </c>
      <c r="F6" t="s">
        <v>6</v>
      </c>
      <c r="G6" t="s">
        <v>7</v>
      </c>
      <c r="H6" t="s">
        <v>8</v>
      </c>
      <c r="I6" t="s">
        <v>7</v>
      </c>
      <c r="J6">
        <v>3</v>
      </c>
      <c r="K6">
        <v>3</v>
      </c>
      <c r="L6" t="s">
        <v>10</v>
      </c>
      <c r="M6" t="s">
        <v>10</v>
      </c>
      <c r="N6" t="s">
        <v>12</v>
      </c>
      <c r="O6" t="s">
        <v>10</v>
      </c>
      <c r="P6" t="s">
        <v>10</v>
      </c>
      <c r="Q6" t="s">
        <v>16</v>
      </c>
    </row>
    <row r="7" spans="1:17">
      <c r="A7" t="s">
        <v>25</v>
      </c>
      <c r="B7" t="s">
        <v>2</v>
      </c>
      <c r="C7" t="s">
        <v>3</v>
      </c>
      <c r="D7" t="s">
        <v>24</v>
      </c>
      <c r="E7" t="s">
        <v>5</v>
      </c>
      <c r="F7" t="s">
        <v>26</v>
      </c>
      <c r="G7" t="s">
        <v>9</v>
      </c>
      <c r="H7" t="s">
        <v>8</v>
      </c>
      <c r="I7" t="s">
        <v>9</v>
      </c>
      <c r="J7">
        <v>4</v>
      </c>
      <c r="K7">
        <v>4</v>
      </c>
      <c r="L7" t="s">
        <v>10</v>
      </c>
      <c r="M7" t="s">
        <v>10</v>
      </c>
      <c r="N7" t="s">
        <v>11</v>
      </c>
      <c r="O7" t="s">
        <v>10</v>
      </c>
      <c r="P7" t="s">
        <v>10</v>
      </c>
      <c r="Q7" t="s">
        <v>16</v>
      </c>
    </row>
    <row r="8" spans="1:17">
      <c r="A8" t="s">
        <v>27</v>
      </c>
      <c r="B8" t="s">
        <v>2</v>
      </c>
      <c r="C8" t="s">
        <v>18</v>
      </c>
      <c r="D8" t="s">
        <v>28</v>
      </c>
      <c r="E8" t="s">
        <v>29</v>
      </c>
      <c r="F8" t="s">
        <v>30</v>
      </c>
      <c r="G8" t="s">
        <v>9</v>
      </c>
      <c r="H8" t="s">
        <v>8</v>
      </c>
      <c r="I8" t="s">
        <v>9</v>
      </c>
      <c r="J8">
        <v>3</v>
      </c>
      <c r="K8">
        <v>3</v>
      </c>
      <c r="L8" t="s">
        <v>10</v>
      </c>
      <c r="M8" t="s">
        <v>12</v>
      </c>
      <c r="N8" t="s">
        <v>12</v>
      </c>
      <c r="O8" t="s">
        <v>12</v>
      </c>
      <c r="P8" t="s">
        <v>12</v>
      </c>
      <c r="Q8" t="s">
        <v>13</v>
      </c>
    </row>
    <row r="9" spans="1:17">
      <c r="A9" t="s">
        <v>31</v>
      </c>
      <c r="B9" t="s">
        <v>15</v>
      </c>
      <c r="C9" t="s">
        <v>18</v>
      </c>
      <c r="D9" t="s">
        <v>4</v>
      </c>
      <c r="E9" t="s">
        <v>29</v>
      </c>
      <c r="F9" t="s">
        <v>6</v>
      </c>
      <c r="G9" t="s">
        <v>22</v>
      </c>
      <c r="H9" t="s">
        <v>8</v>
      </c>
      <c r="I9" t="s">
        <v>22</v>
      </c>
      <c r="J9">
        <v>3</v>
      </c>
      <c r="K9">
        <v>2</v>
      </c>
      <c r="L9" t="s">
        <v>10</v>
      </c>
      <c r="M9" t="s">
        <v>19</v>
      </c>
      <c r="N9" t="s">
        <v>32</v>
      </c>
      <c r="O9" t="s">
        <v>12</v>
      </c>
      <c r="P9" t="s">
        <v>12</v>
      </c>
      <c r="Q9" t="s">
        <v>13</v>
      </c>
    </row>
    <row r="10" spans="1:17">
      <c r="A10" t="s">
        <v>33</v>
      </c>
      <c r="B10" t="s">
        <v>2</v>
      </c>
      <c r="C10" t="s">
        <v>18</v>
      </c>
      <c r="D10" t="s">
        <v>28</v>
      </c>
      <c r="E10" t="s">
        <v>34</v>
      </c>
      <c r="F10" t="s">
        <v>30</v>
      </c>
      <c r="G10" t="s">
        <v>9</v>
      </c>
      <c r="H10" t="s">
        <v>8</v>
      </c>
      <c r="I10" t="s">
        <v>9</v>
      </c>
      <c r="J10">
        <v>3</v>
      </c>
      <c r="K10">
        <v>3</v>
      </c>
      <c r="L10" t="s">
        <v>10</v>
      </c>
      <c r="M10" t="s">
        <v>12</v>
      </c>
      <c r="N10" t="s">
        <v>12</v>
      </c>
      <c r="O10" t="s">
        <v>12</v>
      </c>
      <c r="P10" t="s">
        <v>12</v>
      </c>
      <c r="Q10" t="s">
        <v>13</v>
      </c>
    </row>
    <row r="11" spans="1:17">
      <c r="A11" t="s">
        <v>35</v>
      </c>
      <c r="B11" t="s">
        <v>15</v>
      </c>
      <c r="C11" t="s">
        <v>3</v>
      </c>
      <c r="D11" t="s">
        <v>28</v>
      </c>
      <c r="E11" t="s">
        <v>34</v>
      </c>
      <c r="F11" t="s">
        <v>6</v>
      </c>
      <c r="G11" t="s">
        <v>7</v>
      </c>
      <c r="H11" t="s">
        <v>8</v>
      </c>
      <c r="I11" t="s">
        <v>7</v>
      </c>
      <c r="J11">
        <v>4</v>
      </c>
      <c r="K11">
        <v>3</v>
      </c>
      <c r="L11" t="s">
        <v>10</v>
      </c>
      <c r="M11" t="s">
        <v>10</v>
      </c>
      <c r="N11" t="s">
        <v>11</v>
      </c>
      <c r="O11" t="s">
        <v>10</v>
      </c>
      <c r="P11" t="s">
        <v>10</v>
      </c>
      <c r="Q11" t="s">
        <v>16</v>
      </c>
    </row>
    <row r="12" spans="1:17">
      <c r="A12" t="s">
        <v>36</v>
      </c>
      <c r="B12" t="s">
        <v>15</v>
      </c>
      <c r="C12" t="s">
        <v>18</v>
      </c>
      <c r="D12" t="s">
        <v>4</v>
      </c>
      <c r="E12" t="s">
        <v>5</v>
      </c>
      <c r="F12" t="s">
        <v>6</v>
      </c>
      <c r="G12" t="s">
        <v>37</v>
      </c>
      <c r="H12" t="s">
        <v>38</v>
      </c>
      <c r="I12" t="s">
        <v>37</v>
      </c>
      <c r="J12">
        <v>3</v>
      </c>
      <c r="K12">
        <v>2</v>
      </c>
      <c r="L12" t="s">
        <v>10</v>
      </c>
      <c r="M12" t="s">
        <v>10</v>
      </c>
      <c r="N12" t="s">
        <v>10</v>
      </c>
      <c r="O12" t="s">
        <v>10</v>
      </c>
      <c r="P12" t="s">
        <v>10</v>
      </c>
      <c r="Q12" t="s">
        <v>16</v>
      </c>
    </row>
    <row r="13" spans="1:17">
      <c r="A13" t="s">
        <v>39</v>
      </c>
      <c r="B13" t="s">
        <v>15</v>
      </c>
      <c r="C13" t="s">
        <v>3</v>
      </c>
      <c r="D13" t="s">
        <v>4</v>
      </c>
      <c r="E13" t="s">
        <v>34</v>
      </c>
      <c r="F13" t="s">
        <v>6</v>
      </c>
      <c r="G13" t="s">
        <v>7</v>
      </c>
      <c r="H13" t="s">
        <v>8</v>
      </c>
      <c r="I13" t="s">
        <v>40</v>
      </c>
      <c r="J13">
        <v>4</v>
      </c>
      <c r="K13">
        <v>4</v>
      </c>
      <c r="L13" t="s">
        <v>12</v>
      </c>
      <c r="M13" t="s">
        <v>19</v>
      </c>
      <c r="N13" t="s">
        <v>12</v>
      </c>
      <c r="O13" t="s">
        <v>19</v>
      </c>
      <c r="P13" t="s">
        <v>19</v>
      </c>
      <c r="Q13" t="s">
        <v>13</v>
      </c>
    </row>
    <row r="14" spans="1:17">
      <c r="A14" t="s">
        <v>41</v>
      </c>
      <c r="B14" t="s">
        <v>15</v>
      </c>
      <c r="C14" t="s">
        <v>3</v>
      </c>
      <c r="D14" t="s">
        <v>4</v>
      </c>
      <c r="E14" t="s">
        <v>5</v>
      </c>
      <c r="F14" t="s">
        <v>26</v>
      </c>
      <c r="G14" t="s">
        <v>7</v>
      </c>
      <c r="H14" t="s">
        <v>8</v>
      </c>
      <c r="I14" t="s">
        <v>9</v>
      </c>
      <c r="J14">
        <v>3</v>
      </c>
      <c r="K14">
        <v>4</v>
      </c>
      <c r="L14" t="s">
        <v>12</v>
      </c>
      <c r="M14" t="s">
        <v>11</v>
      </c>
      <c r="N14" t="s">
        <v>19</v>
      </c>
      <c r="O14" t="s">
        <v>12</v>
      </c>
      <c r="P14" t="s">
        <v>12</v>
      </c>
      <c r="Q14" t="s">
        <v>42</v>
      </c>
    </row>
    <row r="15" spans="1:17">
      <c r="A15" t="s">
        <v>43</v>
      </c>
      <c r="B15" t="s">
        <v>15</v>
      </c>
      <c r="C15" t="s">
        <v>3</v>
      </c>
      <c r="D15" t="s">
        <v>4</v>
      </c>
      <c r="E15" t="s">
        <v>21</v>
      </c>
      <c r="F15" t="s">
        <v>6</v>
      </c>
      <c r="G15" t="s">
        <v>7</v>
      </c>
      <c r="H15" t="s">
        <v>8</v>
      </c>
      <c r="I15" t="s">
        <v>7</v>
      </c>
      <c r="J15">
        <v>4</v>
      </c>
      <c r="K15">
        <v>3</v>
      </c>
      <c r="L15" t="s">
        <v>10</v>
      </c>
      <c r="M15" t="s">
        <v>10</v>
      </c>
      <c r="N15" t="s">
        <v>19</v>
      </c>
      <c r="O15" t="s">
        <v>10</v>
      </c>
      <c r="P15" t="s">
        <v>10</v>
      </c>
      <c r="Q15" t="s">
        <v>16</v>
      </c>
    </row>
    <row r="16" spans="1:17">
      <c r="A16" t="s">
        <v>44</v>
      </c>
      <c r="B16" t="s">
        <v>15</v>
      </c>
      <c r="C16" t="s">
        <v>3</v>
      </c>
      <c r="D16" t="s">
        <v>24</v>
      </c>
      <c r="E16" t="s">
        <v>34</v>
      </c>
      <c r="F16" t="s">
        <v>30</v>
      </c>
      <c r="G16" t="s">
        <v>7</v>
      </c>
      <c r="H16" t="s">
        <v>8</v>
      </c>
      <c r="I16" t="s">
        <v>22</v>
      </c>
      <c r="J16">
        <v>3</v>
      </c>
      <c r="K16">
        <v>3</v>
      </c>
      <c r="L16" t="s">
        <v>10</v>
      </c>
      <c r="M16" t="s">
        <v>10</v>
      </c>
      <c r="N16" t="s">
        <v>19</v>
      </c>
      <c r="O16" t="s">
        <v>12</v>
      </c>
      <c r="P16" t="s">
        <v>10</v>
      </c>
      <c r="Q16" t="s">
        <v>13</v>
      </c>
    </row>
    <row r="17" spans="1:17">
      <c r="A17" t="s">
        <v>45</v>
      </c>
      <c r="B17" t="s">
        <v>2</v>
      </c>
      <c r="C17" t="s">
        <v>3</v>
      </c>
      <c r="D17" t="s">
        <v>28</v>
      </c>
      <c r="E17" t="s">
        <v>46</v>
      </c>
      <c r="F17" t="s">
        <v>6</v>
      </c>
      <c r="G17" t="s">
        <v>9</v>
      </c>
      <c r="H17" t="s">
        <v>38</v>
      </c>
      <c r="I17" t="s">
        <v>9</v>
      </c>
      <c r="J17">
        <v>3</v>
      </c>
      <c r="K17">
        <v>4</v>
      </c>
      <c r="L17" t="s">
        <v>10</v>
      </c>
      <c r="M17" t="s">
        <v>10</v>
      </c>
      <c r="N17" t="s">
        <v>19</v>
      </c>
      <c r="O17" t="s">
        <v>10</v>
      </c>
      <c r="P17" t="s">
        <v>10</v>
      </c>
      <c r="Q17" t="s">
        <v>47</v>
      </c>
    </row>
    <row r="18" spans="1:17">
      <c r="A18" t="s">
        <v>48</v>
      </c>
      <c r="B18" t="s">
        <v>15</v>
      </c>
      <c r="C18" t="s">
        <v>18</v>
      </c>
      <c r="D18" t="s">
        <v>24</v>
      </c>
      <c r="E18" t="s">
        <v>5</v>
      </c>
      <c r="F18" t="s">
        <v>30</v>
      </c>
      <c r="G18" t="s">
        <v>7</v>
      </c>
      <c r="H18" t="s">
        <v>8</v>
      </c>
      <c r="I18" t="s">
        <v>7</v>
      </c>
      <c r="J18">
        <v>3</v>
      </c>
      <c r="K18">
        <v>3</v>
      </c>
      <c r="L18" t="s">
        <v>10</v>
      </c>
      <c r="M18" t="s">
        <v>10</v>
      </c>
      <c r="N18" t="s">
        <v>12</v>
      </c>
      <c r="O18" t="s">
        <v>10</v>
      </c>
      <c r="P18" t="s">
        <v>10</v>
      </c>
      <c r="Q18" t="s">
        <v>42</v>
      </c>
    </row>
    <row r="19" spans="1:17">
      <c r="A19" t="s">
        <v>49</v>
      </c>
      <c r="B19" t="s">
        <v>15</v>
      </c>
      <c r="C19" t="s">
        <v>3</v>
      </c>
      <c r="D19" t="s">
        <v>24</v>
      </c>
      <c r="E19" t="s">
        <v>50</v>
      </c>
      <c r="F19" t="s">
        <v>6</v>
      </c>
      <c r="G19" t="s">
        <v>40</v>
      </c>
      <c r="H19" t="s">
        <v>8</v>
      </c>
      <c r="I19" t="s">
        <v>9</v>
      </c>
      <c r="J19">
        <v>4</v>
      </c>
      <c r="K19">
        <v>4</v>
      </c>
      <c r="L19" t="s">
        <v>10</v>
      </c>
      <c r="M19" t="s">
        <v>10</v>
      </c>
      <c r="N19" t="s">
        <v>11</v>
      </c>
      <c r="O19" t="s">
        <v>10</v>
      </c>
      <c r="P19" t="s">
        <v>10</v>
      </c>
      <c r="Q19" t="s">
        <v>16</v>
      </c>
    </row>
    <row r="20" spans="1:17">
      <c r="A20" t="s">
        <v>51</v>
      </c>
      <c r="B20" t="s">
        <v>2</v>
      </c>
      <c r="C20" t="s">
        <v>18</v>
      </c>
      <c r="D20" t="s">
        <v>24</v>
      </c>
      <c r="E20" t="s">
        <v>5</v>
      </c>
      <c r="F20" t="s">
        <v>6</v>
      </c>
      <c r="G20" t="s">
        <v>9</v>
      </c>
      <c r="H20" t="s">
        <v>8</v>
      </c>
      <c r="I20" t="s">
        <v>9</v>
      </c>
      <c r="J20">
        <v>4</v>
      </c>
      <c r="K20">
        <v>4</v>
      </c>
      <c r="L20" t="s">
        <v>10</v>
      </c>
      <c r="M20" t="s">
        <v>10</v>
      </c>
      <c r="N20" t="s">
        <v>19</v>
      </c>
      <c r="O20" t="s">
        <v>10</v>
      </c>
      <c r="P20" t="s">
        <v>10</v>
      </c>
      <c r="Q20" t="s">
        <v>13</v>
      </c>
    </row>
    <row r="21" spans="1:17">
      <c r="A21" t="s">
        <v>52</v>
      </c>
      <c r="B21" t="s">
        <v>15</v>
      </c>
      <c r="C21" t="s">
        <v>3</v>
      </c>
      <c r="D21" t="s">
        <v>4</v>
      </c>
      <c r="E21" t="s">
        <v>21</v>
      </c>
      <c r="F21" t="s">
        <v>26</v>
      </c>
      <c r="G21" t="s">
        <v>9</v>
      </c>
      <c r="H21" t="s">
        <v>8</v>
      </c>
      <c r="I21" t="s">
        <v>7</v>
      </c>
      <c r="J21">
        <v>4</v>
      </c>
      <c r="K21">
        <v>4</v>
      </c>
      <c r="L21" t="s">
        <v>10</v>
      </c>
      <c r="M21" t="s">
        <v>10</v>
      </c>
      <c r="N21" t="s">
        <v>32</v>
      </c>
      <c r="O21" t="s">
        <v>10</v>
      </c>
      <c r="P21" t="s">
        <v>10</v>
      </c>
      <c r="Q21" t="s">
        <v>16</v>
      </c>
    </row>
    <row r="22" spans="1:17">
      <c r="A22" t="s">
        <v>53</v>
      </c>
      <c r="B22" t="s">
        <v>2</v>
      </c>
      <c r="C22" t="s">
        <v>18</v>
      </c>
      <c r="D22" t="s">
        <v>4</v>
      </c>
      <c r="E22" t="s">
        <v>54</v>
      </c>
      <c r="F22" t="s">
        <v>55</v>
      </c>
      <c r="G22" t="s">
        <v>7</v>
      </c>
      <c r="H22" t="s">
        <v>8</v>
      </c>
      <c r="I22" t="s">
        <v>9</v>
      </c>
      <c r="J22">
        <v>3</v>
      </c>
      <c r="K22">
        <v>3</v>
      </c>
      <c r="L22" t="s">
        <v>10</v>
      </c>
      <c r="M22" t="s">
        <v>10</v>
      </c>
      <c r="N22" t="s">
        <v>10</v>
      </c>
      <c r="O22" t="s">
        <v>10</v>
      </c>
      <c r="P22" t="s">
        <v>10</v>
      </c>
      <c r="Q22" t="s">
        <v>16</v>
      </c>
    </row>
    <row r="23" spans="1:17">
      <c r="A23" t="s">
        <v>56</v>
      </c>
      <c r="B23" t="s">
        <v>15</v>
      </c>
      <c r="C23" t="s">
        <v>18</v>
      </c>
      <c r="D23" t="s">
        <v>4</v>
      </c>
      <c r="E23" t="s">
        <v>57</v>
      </c>
      <c r="F23" t="s">
        <v>6</v>
      </c>
      <c r="G23" t="s">
        <v>7</v>
      </c>
      <c r="H23" t="s">
        <v>8</v>
      </c>
      <c r="I23" t="s">
        <v>7</v>
      </c>
      <c r="J23">
        <v>3</v>
      </c>
      <c r="K23">
        <v>3</v>
      </c>
      <c r="L23" t="s">
        <v>10</v>
      </c>
      <c r="M23" t="s">
        <v>10</v>
      </c>
      <c r="N23" t="s">
        <v>19</v>
      </c>
      <c r="O23" t="s">
        <v>10</v>
      </c>
      <c r="P23" t="s">
        <v>10</v>
      </c>
      <c r="Q23" t="s">
        <v>13</v>
      </c>
    </row>
    <row r="24" spans="1:17">
      <c r="A24" t="s">
        <v>58</v>
      </c>
      <c r="B24" t="s">
        <v>15</v>
      </c>
      <c r="C24" t="s">
        <v>3</v>
      </c>
      <c r="D24" t="s">
        <v>24</v>
      </c>
      <c r="E24" t="s">
        <v>34</v>
      </c>
      <c r="F24" t="s">
        <v>6</v>
      </c>
      <c r="G24" t="s">
        <v>22</v>
      </c>
      <c r="H24" t="s">
        <v>8</v>
      </c>
      <c r="I24" t="s">
        <v>7</v>
      </c>
      <c r="J24">
        <v>4</v>
      </c>
      <c r="K24">
        <v>4</v>
      </c>
      <c r="L24" t="s">
        <v>10</v>
      </c>
      <c r="M24" t="s">
        <v>12</v>
      </c>
      <c r="N24" t="s">
        <v>12</v>
      </c>
      <c r="O24" t="s">
        <v>12</v>
      </c>
      <c r="P24" t="s">
        <v>10</v>
      </c>
      <c r="Q24" t="s">
        <v>16</v>
      </c>
    </row>
    <row r="25" spans="1:17">
      <c r="A25" t="s">
        <v>59</v>
      </c>
      <c r="B25" t="s">
        <v>2</v>
      </c>
      <c r="C25" t="s">
        <v>18</v>
      </c>
      <c r="D25" t="s">
        <v>4</v>
      </c>
      <c r="E25" t="s">
        <v>54</v>
      </c>
      <c r="F25" t="s">
        <v>6</v>
      </c>
      <c r="G25" t="s">
        <v>37</v>
      </c>
      <c r="H25" t="s">
        <v>8</v>
      </c>
      <c r="I25" t="s">
        <v>7</v>
      </c>
      <c r="J25">
        <v>4</v>
      </c>
      <c r="K25">
        <v>5</v>
      </c>
      <c r="L25" t="s">
        <v>10</v>
      </c>
      <c r="M25" t="s">
        <v>12</v>
      </c>
      <c r="N25" t="s">
        <v>10</v>
      </c>
      <c r="O25" t="s">
        <v>12</v>
      </c>
      <c r="P25" t="s">
        <v>12</v>
      </c>
      <c r="Q25" t="s">
        <v>16</v>
      </c>
    </row>
    <row r="26" spans="1:17">
      <c r="A26" t="s">
        <v>60</v>
      </c>
      <c r="B26" t="s">
        <v>61</v>
      </c>
      <c r="C26" t="s">
        <v>3</v>
      </c>
      <c r="D26" t="s">
        <v>28</v>
      </c>
      <c r="E26" t="s">
        <v>5</v>
      </c>
      <c r="F26" t="s">
        <v>26</v>
      </c>
      <c r="G26" t="s">
        <v>7</v>
      </c>
      <c r="H26" t="s">
        <v>38</v>
      </c>
      <c r="I26" t="s">
        <v>7</v>
      </c>
      <c r="J26">
        <v>4</v>
      </c>
      <c r="K26">
        <v>4</v>
      </c>
      <c r="L26" t="s">
        <v>12</v>
      </c>
      <c r="M26" t="s">
        <v>10</v>
      </c>
      <c r="N26" t="s">
        <v>12</v>
      </c>
      <c r="O26" t="s">
        <v>12</v>
      </c>
      <c r="P26" t="s">
        <v>10</v>
      </c>
      <c r="Q26" t="s">
        <v>16</v>
      </c>
    </row>
    <row r="27" spans="1:17">
      <c r="A27" t="s">
        <v>62</v>
      </c>
      <c r="B27" t="s">
        <v>15</v>
      </c>
      <c r="C27" t="s">
        <v>3</v>
      </c>
      <c r="D27" t="s">
        <v>24</v>
      </c>
      <c r="E27" t="s">
        <v>21</v>
      </c>
      <c r="F27" t="s">
        <v>6</v>
      </c>
      <c r="G27" t="s">
        <v>7</v>
      </c>
      <c r="H27" t="s">
        <v>8</v>
      </c>
      <c r="I27" t="s">
        <v>9</v>
      </c>
      <c r="J27">
        <v>4</v>
      </c>
      <c r="K27">
        <v>4</v>
      </c>
      <c r="L27" t="s">
        <v>10</v>
      </c>
      <c r="M27" t="s">
        <v>12</v>
      </c>
      <c r="N27" t="s">
        <v>12</v>
      </c>
      <c r="O27" t="s">
        <v>12</v>
      </c>
      <c r="P27" t="s">
        <v>10</v>
      </c>
      <c r="Q27" t="s">
        <v>16</v>
      </c>
    </row>
    <row r="28" spans="1:17">
      <c r="A28" t="s">
        <v>63</v>
      </c>
      <c r="B28" t="s">
        <v>61</v>
      </c>
      <c r="C28" t="s">
        <v>3</v>
      </c>
      <c r="D28" t="s">
        <v>64</v>
      </c>
      <c r="E28" t="s">
        <v>26</v>
      </c>
      <c r="F28" t="s">
        <v>26</v>
      </c>
      <c r="G28" t="s">
        <v>7</v>
      </c>
      <c r="H28" t="s">
        <v>38</v>
      </c>
      <c r="I28" t="s">
        <v>7</v>
      </c>
      <c r="J28">
        <v>5</v>
      </c>
      <c r="K28">
        <v>3</v>
      </c>
      <c r="L28" t="s">
        <v>12</v>
      </c>
      <c r="M28" t="s">
        <v>12</v>
      </c>
      <c r="N28" t="s">
        <v>12</v>
      </c>
      <c r="O28" t="s">
        <v>10</v>
      </c>
      <c r="P28" t="s">
        <v>10</v>
      </c>
      <c r="Q28" t="s">
        <v>47</v>
      </c>
    </row>
    <row r="29" spans="1:17">
      <c r="A29" t="s">
        <v>65</v>
      </c>
      <c r="B29" t="s">
        <v>15</v>
      </c>
      <c r="C29" t="s">
        <v>3</v>
      </c>
      <c r="D29" t="s">
        <v>24</v>
      </c>
      <c r="E29" t="s">
        <v>66</v>
      </c>
      <c r="F29" t="s">
        <v>30</v>
      </c>
      <c r="G29" t="s">
        <v>9</v>
      </c>
      <c r="H29" t="s">
        <v>8</v>
      </c>
      <c r="I29" t="s">
        <v>9</v>
      </c>
      <c r="J29">
        <v>4</v>
      </c>
      <c r="K29">
        <v>4</v>
      </c>
      <c r="L29" t="s">
        <v>10</v>
      </c>
      <c r="M29" t="s">
        <v>10</v>
      </c>
      <c r="N29" t="s">
        <v>10</v>
      </c>
      <c r="O29" t="s">
        <v>12</v>
      </c>
      <c r="P29" t="s">
        <v>10</v>
      </c>
      <c r="Q29" t="s">
        <v>16</v>
      </c>
    </row>
    <row r="30" spans="1:17">
      <c r="A30" t="s">
        <v>67</v>
      </c>
      <c r="B30" t="s">
        <v>15</v>
      </c>
      <c r="C30" t="s">
        <v>3</v>
      </c>
      <c r="D30" t="s">
        <v>4</v>
      </c>
      <c r="E30" t="s">
        <v>21</v>
      </c>
      <c r="F30" t="s">
        <v>6</v>
      </c>
      <c r="G30" t="s">
        <v>7</v>
      </c>
      <c r="H30" t="s">
        <v>8</v>
      </c>
      <c r="I30" t="s">
        <v>37</v>
      </c>
      <c r="J30">
        <v>3</v>
      </c>
      <c r="K30">
        <v>3</v>
      </c>
      <c r="L30" t="s">
        <v>10</v>
      </c>
      <c r="M30" t="s">
        <v>10</v>
      </c>
      <c r="N30" t="s">
        <v>19</v>
      </c>
      <c r="O30" t="s">
        <v>10</v>
      </c>
      <c r="P30" t="s">
        <v>10</v>
      </c>
      <c r="Q30" t="s">
        <v>16</v>
      </c>
    </row>
    <row r="31" spans="1:17">
      <c r="A31" t="s">
        <v>68</v>
      </c>
      <c r="B31" t="s">
        <v>15</v>
      </c>
      <c r="C31" t="s">
        <v>18</v>
      </c>
      <c r="D31" t="s">
        <v>24</v>
      </c>
      <c r="E31" t="s">
        <v>5</v>
      </c>
      <c r="F31" t="s">
        <v>6</v>
      </c>
      <c r="G31" t="s">
        <v>7</v>
      </c>
      <c r="H31" t="s">
        <v>8</v>
      </c>
      <c r="I31" t="s">
        <v>9</v>
      </c>
      <c r="J31">
        <v>5</v>
      </c>
      <c r="K31">
        <v>5</v>
      </c>
      <c r="L31" t="s">
        <v>10</v>
      </c>
      <c r="M31" t="s">
        <v>10</v>
      </c>
      <c r="N31" t="s">
        <v>10</v>
      </c>
      <c r="O31" t="s">
        <v>10</v>
      </c>
      <c r="P31" t="s">
        <v>10</v>
      </c>
      <c r="Q31" t="s">
        <v>13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E598B-D64A-4D7B-8D29-328246D35DF2}">
  <sheetPr codeName="Sheet2"/>
  <dimension ref="A1:AF92"/>
  <sheetViews>
    <sheetView zoomScale="77" zoomScaleNormal="79" workbookViewId="0">
      <selection activeCell="S5" sqref="S5"/>
    </sheetView>
  </sheetViews>
  <sheetFormatPr defaultRowHeight="14.4"/>
  <cols>
    <col min="1" max="1" width="15.77734375" customWidth="1"/>
    <col min="2" max="2" width="14.44140625" bestFit="1" customWidth="1"/>
    <col min="3" max="3" width="11.33203125" bestFit="1" customWidth="1"/>
    <col min="4" max="4" width="29.33203125" customWidth="1"/>
    <col min="5" max="5" width="1.44140625" hidden="1" customWidth="1"/>
    <col min="6" max="6" width="18" customWidth="1"/>
    <col min="7" max="7" width="24.109375" customWidth="1"/>
    <col min="8" max="8" width="23.21875" customWidth="1"/>
    <col min="9" max="9" width="22.21875" customWidth="1"/>
    <col min="10" max="10" width="21" customWidth="1"/>
    <col min="11" max="11" width="15" customWidth="1"/>
    <col min="12" max="12" width="12.88671875" customWidth="1"/>
    <col min="13" max="13" width="13.6640625" customWidth="1"/>
    <col min="14" max="14" width="31.77734375" customWidth="1"/>
    <col min="15" max="15" width="22.109375" hidden="1" customWidth="1"/>
    <col min="16" max="16" width="22.6640625" bestFit="1" customWidth="1"/>
    <col min="17" max="17" width="25.6640625" customWidth="1"/>
    <col min="18" max="18" width="37.109375" hidden="1" customWidth="1"/>
    <col min="19" max="19" width="37.109375" customWidth="1"/>
    <col min="20" max="20" width="14.109375" customWidth="1"/>
    <col min="21" max="21" width="25.109375" customWidth="1"/>
    <col min="22" max="22" width="25.6640625" hidden="1" customWidth="1"/>
    <col min="23" max="23" width="17.77734375" customWidth="1"/>
    <col min="24" max="24" width="24.21875" hidden="1" customWidth="1"/>
    <col min="25" max="25" width="20.88671875" customWidth="1"/>
    <col min="26" max="26" width="25.21875" hidden="1" customWidth="1"/>
    <col min="27" max="27" width="24.5546875" customWidth="1"/>
    <col min="28" max="28" width="23.88671875" hidden="1" customWidth="1"/>
    <col min="29" max="29" width="19.6640625" customWidth="1"/>
    <col min="30" max="30" width="24.109375" hidden="1" customWidth="1"/>
    <col min="31" max="31" width="17.5546875" customWidth="1"/>
    <col min="32" max="32" width="47.33203125" customWidth="1"/>
    <col min="33" max="33" width="11.88671875" customWidth="1"/>
    <col min="34" max="34" width="14.33203125" customWidth="1"/>
    <col min="35" max="35" width="15.109375" customWidth="1"/>
  </cols>
  <sheetData>
    <row r="1" spans="1:32">
      <c r="A1" t="s">
        <v>124</v>
      </c>
      <c r="B1" s="1" t="s">
        <v>69</v>
      </c>
      <c r="C1" s="1" t="s">
        <v>70</v>
      </c>
      <c r="D1" s="1" t="s">
        <v>71</v>
      </c>
      <c r="E1" s="1" t="s">
        <v>84</v>
      </c>
      <c r="F1" s="2" t="s">
        <v>125</v>
      </c>
      <c r="G1" s="2" t="s">
        <v>126</v>
      </c>
      <c r="H1" s="2" t="s">
        <v>127</v>
      </c>
      <c r="I1" s="2" t="s">
        <v>26</v>
      </c>
      <c r="J1" s="2" t="s">
        <v>55</v>
      </c>
      <c r="K1" s="2" t="s">
        <v>6</v>
      </c>
      <c r="L1" s="2" t="s">
        <v>85</v>
      </c>
      <c r="M1" s="2" t="s">
        <v>86</v>
      </c>
      <c r="N1" s="2" t="s">
        <v>72</v>
      </c>
      <c r="O1" s="2" t="s">
        <v>73</v>
      </c>
      <c r="P1" s="2" t="s">
        <v>128</v>
      </c>
      <c r="Q1" s="2" t="s">
        <v>83</v>
      </c>
      <c r="R1" s="2" t="s">
        <v>87</v>
      </c>
      <c r="S1" s="2" t="s">
        <v>129</v>
      </c>
      <c r="T1" s="2" t="s">
        <v>75</v>
      </c>
      <c r="U1" s="2" t="s">
        <v>76</v>
      </c>
      <c r="V1" s="2" t="s">
        <v>77</v>
      </c>
      <c r="W1" s="2" t="s">
        <v>88</v>
      </c>
      <c r="X1" s="2" t="s">
        <v>78</v>
      </c>
      <c r="Y1" s="2" t="s">
        <v>89</v>
      </c>
      <c r="Z1" s="2" t="s">
        <v>79</v>
      </c>
      <c r="AA1" s="2" t="s">
        <v>90</v>
      </c>
      <c r="AB1" s="2" t="s">
        <v>80</v>
      </c>
      <c r="AC1" s="2" t="s">
        <v>91</v>
      </c>
      <c r="AD1" s="2" t="s">
        <v>81</v>
      </c>
      <c r="AE1" s="2" t="s">
        <v>92</v>
      </c>
      <c r="AF1" s="2" t="s">
        <v>82</v>
      </c>
    </row>
    <row r="2" spans="1:32">
      <c r="A2">
        <v>1</v>
      </c>
      <c r="B2" s="1" t="s">
        <v>2</v>
      </c>
      <c r="C2" s="1" t="s">
        <v>3</v>
      </c>
      <c r="D2" s="1" t="s">
        <v>4</v>
      </c>
      <c r="E2" s="1" t="s">
        <v>5</v>
      </c>
      <c r="F2" s="1" t="s">
        <v>26</v>
      </c>
      <c r="G2" t="s">
        <v>55</v>
      </c>
      <c r="H2" t="s">
        <v>6</v>
      </c>
      <c r="I2" s="1">
        <f>IF(ISNUMBER(SEARCH("Facebook",E2)),1,0)</f>
        <v>1</v>
      </c>
      <c r="J2" s="1">
        <f>IF(ISNUMBER(SEARCH("Instagram",E2)),1,0)</f>
        <v>1</v>
      </c>
      <c r="K2" s="1">
        <f>IF(ISNUMBER(SEARCH("TikTok",E2)),1,0)</f>
        <v>1</v>
      </c>
      <c r="L2" s="1">
        <f>IF(ISNUMBER(SEARCH("YouTube",E2)),1,0)</f>
        <v>0</v>
      </c>
      <c r="M2" s="1">
        <f>IF(ISNUMBER(SEARCH("X (Twitter)",E2)),1,0)</f>
        <v>0</v>
      </c>
      <c r="N2" s="1" t="s">
        <v>6</v>
      </c>
      <c r="O2" s="1" t="s">
        <v>7</v>
      </c>
      <c r="P2" s="1" cm="1">
        <f t="array" ref="P2">_xlfn.SWITCH(O2,
"Never",1,
"Occasionally",2,
"Sometimes",3,
"Often",4,
"Always",5)</f>
        <v>2</v>
      </c>
      <c r="Q2" s="1" t="s">
        <v>8</v>
      </c>
      <c r="R2" s="1" t="s">
        <v>9</v>
      </c>
      <c r="S2" s="1" cm="1">
        <f t="array" ref="S2">_xlfn.SWITCH(R2,
"Never",1,
"Occasionally",2,
"Sometimes",3,
"Often",4,
"Always",5)</f>
        <v>3</v>
      </c>
      <c r="T2" s="1">
        <v>3</v>
      </c>
      <c r="U2" s="1">
        <v>4</v>
      </c>
      <c r="V2" s="1" t="s">
        <v>10</v>
      </c>
      <c r="W2" s="1" cm="1">
        <f t="array" ref="W2">_xlfn.SWITCH(V2,
"1 - Not important at all",1,
"2 - Slightly important",2,
"3 - Moderately important",3,
"4 - Important",4,
"5 - Very important",5)</f>
        <v>5</v>
      </c>
      <c r="X2" s="1" t="s">
        <v>10</v>
      </c>
      <c r="Y2" s="1" cm="1">
        <f t="array" ref="Y2">_xlfn.SWITCH(X2,
"1 - Not important at all",1,
"2 - Slightly important",2,
"3 - Moderately important",3,
"4 - Important",4,
"5 - Very important",5)</f>
        <v>5</v>
      </c>
      <c r="Z2" s="1" t="s">
        <v>11</v>
      </c>
      <c r="AA2" s="1" cm="1">
        <f t="array" ref="AA2">_xlfn.SWITCH(Z2,
"1 - Not important at all",1,
"2 - Slightly important",2,
"3 - Moderately important",3,
"4 - Important",4,
"5 - Very important",5)</f>
        <v>2</v>
      </c>
      <c r="AB2" s="1" t="s">
        <v>12</v>
      </c>
      <c r="AC2" s="1" cm="1">
        <f t="array" ref="AC2">_xlfn.SWITCH(AB2,
"1 - Not important at all",1,
"2 - Slightly important",2,
"3 - Moderately important",3,
"4 - Important",4,
"5 - Very important",5)</f>
        <v>4</v>
      </c>
      <c r="AD2" s="1" t="s">
        <v>10</v>
      </c>
      <c r="AE2" s="1" cm="1">
        <f t="array" ref="AE2">_xlfn.SWITCH(AD2,
"1 - Not important at all",1,
"2 - Slightly important",2,
"3 - Moderately important",3,
"4 - Important",4,
"5 - Very important",5)</f>
        <v>5</v>
      </c>
      <c r="AF2" s="1" t="s">
        <v>13</v>
      </c>
    </row>
    <row r="3" spans="1:32">
      <c r="A3">
        <v>2</v>
      </c>
      <c r="B3" s="1" t="s">
        <v>15</v>
      </c>
      <c r="C3" s="1" t="s">
        <v>3</v>
      </c>
      <c r="D3" s="1" t="s">
        <v>4</v>
      </c>
      <c r="E3" s="1" t="s">
        <v>5</v>
      </c>
      <c r="F3" s="1" t="s">
        <v>26</v>
      </c>
      <c r="G3" t="s">
        <v>55</v>
      </c>
      <c r="H3" t="s">
        <v>6</v>
      </c>
      <c r="I3" s="1">
        <f>IF(ISNUMBER(SEARCH("Facebook",E3)),1,0)</f>
        <v>1</v>
      </c>
      <c r="J3" s="1">
        <f t="shared" ref="J3:J31" si="0">IF(ISNUMBER(SEARCH("Instagram",E3)),1,0)</f>
        <v>1</v>
      </c>
      <c r="K3" s="1">
        <f t="shared" ref="K3:K31" si="1">IF(ISNUMBER(SEARCH("TikTok",E3)),1,0)</f>
        <v>1</v>
      </c>
      <c r="L3" s="1">
        <f t="shared" ref="L3:L31" si="2">IF(ISNUMBER(SEARCH("YouTube",E3)),1,0)</f>
        <v>0</v>
      </c>
      <c r="M3" s="1">
        <f t="shared" ref="M3:M31" si="3">IF(ISNUMBER(SEARCH("X (Twitter)",E3)),1,0)</f>
        <v>0</v>
      </c>
      <c r="N3" s="1" t="s">
        <v>6</v>
      </c>
      <c r="O3" s="1" t="s">
        <v>7</v>
      </c>
      <c r="P3" s="1" cm="1">
        <f t="array" ref="P3">_xlfn.SWITCH(O3,
"Never",1,
"Occasionally",2,
"Sometimes",3,
"Often",4,
"Always",5)</f>
        <v>2</v>
      </c>
      <c r="Q3" s="1" t="s">
        <v>8</v>
      </c>
      <c r="R3" s="1" t="s">
        <v>7</v>
      </c>
      <c r="S3" s="1" cm="1">
        <f t="array" ref="S3">_xlfn.SWITCH(R3,
"Never",1,
"Occasionally",2,
"Sometimes",3,
"Often",4,
"Always",5)</f>
        <v>2</v>
      </c>
      <c r="T3" s="1">
        <v>4</v>
      </c>
      <c r="U3" s="1">
        <v>4</v>
      </c>
      <c r="V3" s="1" t="s">
        <v>10</v>
      </c>
      <c r="W3" s="1" cm="1">
        <f t="array" ref="W3">_xlfn.SWITCH(V3,
"1 - Not important at all",1,
"2 - Slightly important",2,
"3 - Moderately important",3,
"4 - Important",4,
"5 - Very important",5)</f>
        <v>5</v>
      </c>
      <c r="X3" s="1" t="s">
        <v>12</v>
      </c>
      <c r="Y3" s="1" cm="1">
        <f t="array" ref="Y3">_xlfn.SWITCH(X3,
"1 - Not important at all",1,
"2 - Slightly important",2,
"3 - Moderately important",3,
"4 - Important",4,
"5 - Very important",5)</f>
        <v>4</v>
      </c>
      <c r="Z3" s="1" t="s">
        <v>12</v>
      </c>
      <c r="AA3" s="1" cm="1">
        <f t="array" ref="AA3">_xlfn.SWITCH(Z3,
"1 - Not important at all",1,
"2 - Slightly important",2,
"3 - Moderately important",3,
"4 - Important",4,
"5 - Very important",5)</f>
        <v>4</v>
      </c>
      <c r="AB3" s="1" t="s">
        <v>10</v>
      </c>
      <c r="AC3" s="1" cm="1">
        <f t="array" ref="AC3">_xlfn.SWITCH(AB3,
"1 - Not important at all",1,
"2 - Slightly important",2,
"3 - Moderately important",3,
"4 - Important",4,
"5 - Very important",5)</f>
        <v>5</v>
      </c>
      <c r="AD3" s="1" t="s">
        <v>10</v>
      </c>
      <c r="AE3" s="1" cm="1">
        <f t="array" ref="AE3">_xlfn.SWITCH(AD3,
"1 - Not important at all",1,
"2 - Slightly important",2,
"3 - Moderately important",3,
"4 - Important",4,
"5 - Very important",5)</f>
        <v>5</v>
      </c>
      <c r="AF3" s="1" t="s">
        <v>16</v>
      </c>
    </row>
    <row r="4" spans="1:32">
      <c r="A4">
        <v>3</v>
      </c>
      <c r="B4" s="1" t="s">
        <v>15</v>
      </c>
      <c r="C4" s="1" t="s">
        <v>18</v>
      </c>
      <c r="D4" s="1" t="s">
        <v>4</v>
      </c>
      <c r="E4" s="1" t="s">
        <v>5</v>
      </c>
      <c r="F4" s="1" t="s">
        <v>26</v>
      </c>
      <c r="G4" t="s">
        <v>55</v>
      </c>
      <c r="H4" t="s">
        <v>6</v>
      </c>
      <c r="I4" s="1">
        <f t="shared" ref="I4:I31" si="4">IF(ISNUMBER(SEARCH("Facebook",E4)),1,0)</f>
        <v>1</v>
      </c>
      <c r="J4" s="1">
        <f t="shared" si="0"/>
        <v>1</v>
      </c>
      <c r="K4" s="1">
        <f t="shared" si="1"/>
        <v>1</v>
      </c>
      <c r="L4" s="1">
        <f t="shared" si="2"/>
        <v>0</v>
      </c>
      <c r="M4" s="1">
        <f t="shared" si="3"/>
        <v>0</v>
      </c>
      <c r="N4" s="1" t="s">
        <v>6</v>
      </c>
      <c r="O4" s="1" t="s">
        <v>7</v>
      </c>
      <c r="P4" s="1" cm="1">
        <f t="array" ref="P4">_xlfn.SWITCH(O4,
"Never",1,
"Occasionally",2,
"Sometimes",3,
"Often",4,
"Always",5)</f>
        <v>2</v>
      </c>
      <c r="Q4" s="1" t="s">
        <v>8</v>
      </c>
      <c r="R4" s="1" t="s">
        <v>7</v>
      </c>
      <c r="S4" s="1" cm="1">
        <f t="array" ref="S4">_xlfn.SWITCH(R4,
"Never",1,
"Occasionally",2,
"Sometimes",3,
"Often",4,
"Always",5)</f>
        <v>2</v>
      </c>
      <c r="T4" s="1">
        <v>3</v>
      </c>
      <c r="U4" s="1">
        <v>4</v>
      </c>
      <c r="V4" s="1" t="s">
        <v>19</v>
      </c>
      <c r="W4" s="1" cm="1">
        <f t="array" ref="W4">_xlfn.SWITCH(V4,
"1 - Not important at all",1,
"2 - Slightly important",2,
"3 - Moderately important",3,
"4 - Important",4,
"5 - Very important",5)</f>
        <v>3</v>
      </c>
      <c r="X4" s="1" t="s">
        <v>11</v>
      </c>
      <c r="Y4" s="1" cm="1">
        <f t="array" ref="Y4">_xlfn.SWITCH(X4,
"1 - Not important at all",1,
"2 - Slightly important",2,
"3 - Moderately important",3,
"4 - Important",4,
"5 - Very important",5)</f>
        <v>2</v>
      </c>
      <c r="Z4" s="1" t="s">
        <v>19</v>
      </c>
      <c r="AA4" s="1" cm="1">
        <f t="array" ref="AA4">_xlfn.SWITCH(Z4,
"1 - Not important at all",1,
"2 - Slightly important",2,
"3 - Moderately important",3,
"4 - Important",4,
"5 - Very important",5)</f>
        <v>3</v>
      </c>
      <c r="AB4" s="1" t="s">
        <v>12</v>
      </c>
      <c r="AC4" s="1" cm="1">
        <f t="array" ref="AC4">_xlfn.SWITCH(AB4,
"1 - Not important at all",1,
"2 - Slightly important",2,
"3 - Moderately important",3,
"4 - Important",4,
"5 - Very important",5)</f>
        <v>4</v>
      </c>
      <c r="AD4" s="1" t="s">
        <v>11</v>
      </c>
      <c r="AE4" s="1" cm="1">
        <f t="array" ref="AE4">_xlfn.SWITCH(AD4,
"1 - Not important at all",1,
"2 - Slightly important",2,
"3 - Moderately important",3,
"4 - Important",4,
"5 - Very important",5)</f>
        <v>2</v>
      </c>
      <c r="AF4" s="1" t="s">
        <v>13</v>
      </c>
    </row>
    <row r="5" spans="1:32">
      <c r="A5">
        <v>4</v>
      </c>
      <c r="B5" s="1" t="s">
        <v>2</v>
      </c>
      <c r="C5" s="1" t="s">
        <v>3</v>
      </c>
      <c r="D5" s="1" t="s">
        <v>4</v>
      </c>
      <c r="E5" s="1" t="s">
        <v>21</v>
      </c>
      <c r="F5" s="1" t="s">
        <v>26</v>
      </c>
      <c r="G5" t="s">
        <v>6</v>
      </c>
      <c r="I5" s="1">
        <f t="shared" si="4"/>
        <v>1</v>
      </c>
      <c r="J5" s="1">
        <f t="shared" si="0"/>
        <v>0</v>
      </c>
      <c r="K5" s="1">
        <f t="shared" si="1"/>
        <v>1</v>
      </c>
      <c r="L5" s="1">
        <f t="shared" si="2"/>
        <v>0</v>
      </c>
      <c r="M5" s="1">
        <f t="shared" si="3"/>
        <v>0</v>
      </c>
      <c r="N5" s="1" t="s">
        <v>6</v>
      </c>
      <c r="O5" s="1" t="s">
        <v>22</v>
      </c>
      <c r="P5" s="1" cm="1">
        <f t="array" ref="P5">_xlfn.SWITCH(O5,
"Never",1,
"Occasionally",2,
"Sometimes",3,
"Often",4,
"Always",5)</f>
        <v>1</v>
      </c>
      <c r="Q5" s="1" t="s">
        <v>8</v>
      </c>
      <c r="R5" s="1" t="s">
        <v>9</v>
      </c>
      <c r="S5" s="1" cm="1">
        <f t="array" ref="S5">_xlfn.SWITCH(R5,
"Never",1,
"Occasionally",2,
"Sometimes",3,
"Often",4,
"Always",5)</f>
        <v>3</v>
      </c>
      <c r="T5" s="1">
        <v>3</v>
      </c>
      <c r="U5" s="1">
        <v>3</v>
      </c>
      <c r="V5" s="1" t="s">
        <v>10</v>
      </c>
      <c r="W5" s="1" cm="1">
        <f t="array" ref="W5">_xlfn.SWITCH(V5,
"1 - Not important at all",1,
"2 - Slightly important",2,
"3 - Moderately important",3,
"4 - Important",4,
"5 - Very important",5)</f>
        <v>5</v>
      </c>
      <c r="X5" s="1" t="s">
        <v>10</v>
      </c>
      <c r="Y5" s="1" cm="1">
        <f t="array" ref="Y5">_xlfn.SWITCH(X5,
"1 - Not important at all",1,
"2 - Slightly important",2,
"3 - Moderately important",3,
"4 - Important",4,
"5 - Very important",5)</f>
        <v>5</v>
      </c>
      <c r="Z5" s="1" t="s">
        <v>19</v>
      </c>
      <c r="AA5" s="1" cm="1">
        <f t="array" ref="AA5">_xlfn.SWITCH(Z5,
"1 - Not important at all",1,
"2 - Slightly important",2,
"3 - Moderately important",3,
"4 - Important",4,
"5 - Very important",5)</f>
        <v>3</v>
      </c>
      <c r="AB5" s="1" t="s">
        <v>10</v>
      </c>
      <c r="AC5" s="1" cm="1">
        <f t="array" ref="AC5">_xlfn.SWITCH(AB5,
"1 - Not important at all",1,
"2 - Slightly important",2,
"3 - Moderately important",3,
"4 - Important",4,
"5 - Very important",5)</f>
        <v>5</v>
      </c>
      <c r="AD5" s="1" t="s">
        <v>10</v>
      </c>
      <c r="AE5" s="1" cm="1">
        <f t="array" ref="AE5">_xlfn.SWITCH(AD5,
"1 - Not important at all",1,
"2 - Slightly important",2,
"3 - Moderately important",3,
"4 - Important",4,
"5 - Very important",5)</f>
        <v>5</v>
      </c>
      <c r="AF5" s="1" t="s">
        <v>13</v>
      </c>
    </row>
    <row r="6" spans="1:32">
      <c r="A6">
        <v>5</v>
      </c>
      <c r="B6" s="1" t="s">
        <v>2</v>
      </c>
      <c r="C6" s="1" t="s">
        <v>3</v>
      </c>
      <c r="D6" s="1" t="s">
        <v>24</v>
      </c>
      <c r="E6" s="1" t="s">
        <v>21</v>
      </c>
      <c r="F6" s="1" t="s">
        <v>26</v>
      </c>
      <c r="G6" t="s">
        <v>6</v>
      </c>
      <c r="I6" s="1">
        <f t="shared" si="4"/>
        <v>1</v>
      </c>
      <c r="J6" s="1">
        <f t="shared" si="0"/>
        <v>0</v>
      </c>
      <c r="K6" s="1">
        <f t="shared" si="1"/>
        <v>1</v>
      </c>
      <c r="L6" s="1">
        <f t="shared" si="2"/>
        <v>0</v>
      </c>
      <c r="M6" s="1">
        <f t="shared" si="3"/>
        <v>0</v>
      </c>
      <c r="N6" s="1" t="s">
        <v>6</v>
      </c>
      <c r="O6" s="1" t="s">
        <v>7</v>
      </c>
      <c r="P6" s="1" cm="1">
        <f t="array" ref="P6">_xlfn.SWITCH(O6,
"Never",1,
"Occasionally",2,
"Sometimes",3,
"Often",4,
"Always",5)</f>
        <v>2</v>
      </c>
      <c r="Q6" s="1" t="s">
        <v>8</v>
      </c>
      <c r="R6" s="1" t="s">
        <v>7</v>
      </c>
      <c r="S6" s="1" cm="1">
        <f t="array" ref="S6">_xlfn.SWITCH(R6,
"Never",1,
"Occasionally",2,
"Sometimes",3,
"Often",4,
"Always",5)</f>
        <v>2</v>
      </c>
      <c r="T6" s="1">
        <v>3</v>
      </c>
      <c r="U6" s="1">
        <v>3</v>
      </c>
      <c r="V6" s="1" t="s">
        <v>10</v>
      </c>
      <c r="W6" s="1" cm="1">
        <f t="array" ref="W6">_xlfn.SWITCH(V6,
"1 - Not important at all",1,
"2 - Slightly important",2,
"3 - Moderately important",3,
"4 - Important",4,
"5 - Very important",5)</f>
        <v>5</v>
      </c>
      <c r="X6" s="1" t="s">
        <v>10</v>
      </c>
      <c r="Y6" s="1" cm="1">
        <f t="array" ref="Y6">_xlfn.SWITCH(X6,
"1 - Not important at all",1,
"2 - Slightly important",2,
"3 - Moderately important",3,
"4 - Important",4,
"5 - Very important",5)</f>
        <v>5</v>
      </c>
      <c r="Z6" s="1" t="s">
        <v>12</v>
      </c>
      <c r="AA6" s="1" cm="1">
        <f t="array" ref="AA6">_xlfn.SWITCH(Z6,
"1 - Not important at all",1,
"2 - Slightly important",2,
"3 - Moderately important",3,
"4 - Important",4,
"5 - Very important",5)</f>
        <v>4</v>
      </c>
      <c r="AB6" s="1" t="s">
        <v>10</v>
      </c>
      <c r="AC6" s="1" cm="1">
        <f t="array" ref="AC6">_xlfn.SWITCH(AB6,
"1 - Not important at all",1,
"2 - Slightly important",2,
"3 - Moderately important",3,
"4 - Important",4,
"5 - Very important",5)</f>
        <v>5</v>
      </c>
      <c r="AD6" s="1" t="s">
        <v>10</v>
      </c>
      <c r="AE6" s="1" cm="1">
        <f t="array" ref="AE6">_xlfn.SWITCH(AD6,
"1 - Not important at all",1,
"2 - Slightly important",2,
"3 - Moderately important",3,
"4 - Important",4,
"5 - Very important",5)</f>
        <v>5</v>
      </c>
      <c r="AF6" s="1" t="s">
        <v>16</v>
      </c>
    </row>
    <row r="7" spans="1:32">
      <c r="A7">
        <v>6</v>
      </c>
      <c r="B7" s="1" t="s">
        <v>2</v>
      </c>
      <c r="C7" s="1" t="s">
        <v>3</v>
      </c>
      <c r="D7" s="1" t="s">
        <v>24</v>
      </c>
      <c r="E7" s="1" t="s">
        <v>5</v>
      </c>
      <c r="F7" s="1" t="s">
        <v>26</v>
      </c>
      <c r="G7" t="s">
        <v>55</v>
      </c>
      <c r="H7" t="s">
        <v>6</v>
      </c>
      <c r="I7" s="1">
        <f t="shared" si="4"/>
        <v>1</v>
      </c>
      <c r="J7" s="1">
        <f t="shared" si="0"/>
        <v>1</v>
      </c>
      <c r="K7" s="1">
        <f t="shared" si="1"/>
        <v>1</v>
      </c>
      <c r="L7" s="1">
        <f t="shared" si="2"/>
        <v>0</v>
      </c>
      <c r="M7" s="1">
        <f t="shared" si="3"/>
        <v>0</v>
      </c>
      <c r="N7" s="1" t="s">
        <v>26</v>
      </c>
      <c r="O7" s="1" t="s">
        <v>9</v>
      </c>
      <c r="P7" s="1" cm="1">
        <f t="array" ref="P7">_xlfn.SWITCH(O7,
"Never",1,
"Occasionally",2,
"Sometimes",3,
"Often",4,
"Always",5)</f>
        <v>3</v>
      </c>
      <c r="Q7" s="1" t="s">
        <v>8</v>
      </c>
      <c r="R7" s="1" t="s">
        <v>9</v>
      </c>
      <c r="S7" s="1" cm="1">
        <f t="array" ref="S7">_xlfn.SWITCH(R7,
"Never",1,
"Occasionally",2,
"Sometimes",3,
"Often",4,
"Always",5)</f>
        <v>3</v>
      </c>
      <c r="T7" s="1">
        <v>4</v>
      </c>
      <c r="U7" s="1">
        <v>4</v>
      </c>
      <c r="V7" s="1" t="s">
        <v>10</v>
      </c>
      <c r="W7" s="1" cm="1">
        <f t="array" ref="W7">_xlfn.SWITCH(V7,
"1 - Not important at all",1,
"2 - Slightly important",2,
"3 - Moderately important",3,
"4 - Important",4,
"5 - Very important",5)</f>
        <v>5</v>
      </c>
      <c r="X7" s="1" t="s">
        <v>10</v>
      </c>
      <c r="Y7" s="1" cm="1">
        <f t="array" ref="Y7">_xlfn.SWITCH(X7,
"1 - Not important at all",1,
"2 - Slightly important",2,
"3 - Moderately important",3,
"4 - Important",4,
"5 - Very important",5)</f>
        <v>5</v>
      </c>
      <c r="Z7" s="1" t="s">
        <v>11</v>
      </c>
      <c r="AA7" s="1" cm="1">
        <f t="array" ref="AA7">_xlfn.SWITCH(Z7,
"1 - Not important at all",1,
"2 - Slightly important",2,
"3 - Moderately important",3,
"4 - Important",4,
"5 - Very important",5)</f>
        <v>2</v>
      </c>
      <c r="AB7" s="1" t="s">
        <v>10</v>
      </c>
      <c r="AC7" s="1" cm="1">
        <f t="array" ref="AC7">_xlfn.SWITCH(AB7,
"1 - Not important at all",1,
"2 - Slightly important",2,
"3 - Moderately important",3,
"4 - Important",4,
"5 - Very important",5)</f>
        <v>5</v>
      </c>
      <c r="AD7" s="1" t="s">
        <v>10</v>
      </c>
      <c r="AE7" s="1" cm="1">
        <f t="array" ref="AE7">_xlfn.SWITCH(AD7,
"1 - Not important at all",1,
"2 - Slightly important",2,
"3 - Moderately important",3,
"4 - Important",4,
"5 - Very important",5)</f>
        <v>5</v>
      </c>
      <c r="AF7" s="1" t="s">
        <v>16</v>
      </c>
    </row>
    <row r="8" spans="1:32">
      <c r="A8">
        <v>7</v>
      </c>
      <c r="B8" s="1" t="s">
        <v>2</v>
      </c>
      <c r="C8" s="1" t="s">
        <v>18</v>
      </c>
      <c r="D8" s="1" t="s">
        <v>28</v>
      </c>
      <c r="E8" s="1" t="s">
        <v>29</v>
      </c>
      <c r="F8" s="1" t="s">
        <v>26</v>
      </c>
      <c r="G8" t="s">
        <v>6</v>
      </c>
      <c r="H8" t="s">
        <v>86</v>
      </c>
      <c r="I8" s="1">
        <f t="shared" si="4"/>
        <v>1</v>
      </c>
      <c r="J8" s="1">
        <f t="shared" si="0"/>
        <v>0</v>
      </c>
      <c r="K8" s="1">
        <f t="shared" si="1"/>
        <v>1</v>
      </c>
      <c r="L8" s="1">
        <f t="shared" si="2"/>
        <v>0</v>
      </c>
      <c r="M8" s="1">
        <f t="shared" si="3"/>
        <v>1</v>
      </c>
      <c r="N8" s="1" t="s">
        <v>30</v>
      </c>
      <c r="O8" s="1" t="s">
        <v>9</v>
      </c>
      <c r="P8" s="1" cm="1">
        <f t="array" ref="P8">_xlfn.SWITCH(O8,
"Never",1,
"Occasionally",2,
"Sometimes",3,
"Often",4,
"Always",5)</f>
        <v>3</v>
      </c>
      <c r="Q8" s="1" t="s">
        <v>8</v>
      </c>
      <c r="R8" s="1" t="s">
        <v>9</v>
      </c>
      <c r="S8" s="1" cm="1">
        <f t="array" ref="S8">_xlfn.SWITCH(R8,
"Never",1,
"Occasionally",2,
"Sometimes",3,
"Often",4,
"Always",5)</f>
        <v>3</v>
      </c>
      <c r="T8" s="1">
        <v>3</v>
      </c>
      <c r="U8" s="1">
        <v>3</v>
      </c>
      <c r="V8" s="1" t="s">
        <v>10</v>
      </c>
      <c r="W8" s="1" cm="1">
        <f t="array" ref="W8">_xlfn.SWITCH(V8,
"1 - Not important at all",1,
"2 - Slightly important",2,
"3 - Moderately important",3,
"4 - Important",4,
"5 - Very important",5)</f>
        <v>5</v>
      </c>
      <c r="X8" s="1" t="s">
        <v>12</v>
      </c>
      <c r="Y8" s="1" cm="1">
        <f t="array" ref="Y8">_xlfn.SWITCH(X8,
"1 - Not important at all",1,
"2 - Slightly important",2,
"3 - Moderately important",3,
"4 - Important",4,
"5 - Very important",5)</f>
        <v>4</v>
      </c>
      <c r="Z8" s="1" t="s">
        <v>12</v>
      </c>
      <c r="AA8" s="1" cm="1">
        <f t="array" ref="AA8">_xlfn.SWITCH(Z8,
"1 - Not important at all",1,
"2 - Slightly important",2,
"3 - Moderately important",3,
"4 - Important",4,
"5 - Very important",5)</f>
        <v>4</v>
      </c>
      <c r="AB8" s="1" t="s">
        <v>12</v>
      </c>
      <c r="AC8" s="1" cm="1">
        <f t="array" ref="AC8">_xlfn.SWITCH(AB8,
"1 - Not important at all",1,
"2 - Slightly important",2,
"3 - Moderately important",3,
"4 - Important",4,
"5 - Very important",5)</f>
        <v>4</v>
      </c>
      <c r="AD8" s="1" t="s">
        <v>12</v>
      </c>
      <c r="AE8" s="1" cm="1">
        <f t="array" ref="AE8">_xlfn.SWITCH(AD8,
"1 - Not important at all",1,
"2 - Slightly important",2,
"3 - Moderately important",3,
"4 - Important",4,
"5 - Very important",5)</f>
        <v>4</v>
      </c>
      <c r="AF8" s="1" t="s">
        <v>13</v>
      </c>
    </row>
    <row r="9" spans="1:32">
      <c r="A9">
        <v>8</v>
      </c>
      <c r="B9" s="1" t="s">
        <v>15</v>
      </c>
      <c r="C9" s="1" t="s">
        <v>18</v>
      </c>
      <c r="D9" s="1" t="s">
        <v>4</v>
      </c>
      <c r="E9" s="1" t="s">
        <v>29</v>
      </c>
      <c r="F9" s="1" t="s">
        <v>26</v>
      </c>
      <c r="G9" t="s">
        <v>6</v>
      </c>
      <c r="H9" t="s">
        <v>86</v>
      </c>
      <c r="I9" s="1">
        <f t="shared" si="4"/>
        <v>1</v>
      </c>
      <c r="J9" s="1">
        <f t="shared" si="0"/>
        <v>0</v>
      </c>
      <c r="K9" s="1">
        <f t="shared" si="1"/>
        <v>1</v>
      </c>
      <c r="L9" s="1">
        <f t="shared" si="2"/>
        <v>0</v>
      </c>
      <c r="M9" s="1">
        <f t="shared" si="3"/>
        <v>1</v>
      </c>
      <c r="N9" s="1" t="s">
        <v>6</v>
      </c>
      <c r="O9" s="1" t="s">
        <v>22</v>
      </c>
      <c r="P9" s="1" cm="1">
        <f t="array" ref="P9">_xlfn.SWITCH(O9,
"Never",1,
"Occasionally",2,
"Sometimes",3,
"Often",4,
"Always",5)</f>
        <v>1</v>
      </c>
      <c r="Q9" s="1" t="s">
        <v>8</v>
      </c>
      <c r="R9" s="1" t="s">
        <v>22</v>
      </c>
      <c r="S9" s="1" cm="1">
        <f t="array" ref="S9">_xlfn.SWITCH(R9,
"Never",1,
"Occasionally",2,
"Sometimes",3,
"Often",4,
"Always",5)</f>
        <v>1</v>
      </c>
      <c r="T9" s="1">
        <v>3</v>
      </c>
      <c r="U9" s="1">
        <v>2</v>
      </c>
      <c r="V9" s="1" t="s">
        <v>10</v>
      </c>
      <c r="W9" s="1" cm="1">
        <f t="array" ref="W9">_xlfn.SWITCH(V9,
"1 - Not important at all",1,
"2 - Slightly important",2,
"3 - Moderately important",3,
"4 - Important",4,
"5 - Very important",5)</f>
        <v>5</v>
      </c>
      <c r="X9" s="1" t="s">
        <v>19</v>
      </c>
      <c r="Y9" s="1" cm="1">
        <f t="array" ref="Y9">_xlfn.SWITCH(X9,
"1 - Not important at all",1,
"2 - Slightly important",2,
"3 - Moderately important",3,
"4 - Important",4,
"5 - Very important",5)</f>
        <v>3</v>
      </c>
      <c r="Z9" s="1" t="s">
        <v>32</v>
      </c>
      <c r="AA9" s="1" cm="1">
        <f t="array" ref="AA9">_xlfn.SWITCH(Z9,
"1 - Not important at all",1,
"2 - Slightly important",2,
"3 - Moderately important",3,
"4 - Important",4,
"5 - Very important",5)</f>
        <v>1</v>
      </c>
      <c r="AB9" s="1" t="s">
        <v>12</v>
      </c>
      <c r="AC9" s="1" cm="1">
        <f t="array" ref="AC9">_xlfn.SWITCH(AB9,
"1 - Not important at all",1,
"2 - Slightly important",2,
"3 - Moderately important",3,
"4 - Important",4,
"5 - Very important",5)</f>
        <v>4</v>
      </c>
      <c r="AD9" s="1" t="s">
        <v>12</v>
      </c>
      <c r="AE9" s="1" cm="1">
        <f t="array" ref="AE9">_xlfn.SWITCH(AD9,
"1 - Not important at all",1,
"2 - Slightly important",2,
"3 - Moderately important",3,
"4 - Important",4,
"5 - Very important",5)</f>
        <v>4</v>
      </c>
      <c r="AF9" s="1" t="s">
        <v>13</v>
      </c>
    </row>
    <row r="10" spans="1:32">
      <c r="A10">
        <v>9</v>
      </c>
      <c r="B10" s="1" t="s">
        <v>2</v>
      </c>
      <c r="C10" s="1" t="s">
        <v>18</v>
      </c>
      <c r="D10" s="1" t="s">
        <v>28</v>
      </c>
      <c r="E10" s="1" t="s">
        <v>34</v>
      </c>
      <c r="F10" s="1" t="s">
        <v>26</v>
      </c>
      <c r="G10" t="s">
        <v>6</v>
      </c>
      <c r="H10" t="s">
        <v>30</v>
      </c>
      <c r="I10" s="1">
        <f t="shared" si="4"/>
        <v>1</v>
      </c>
      <c r="J10" s="1">
        <f t="shared" si="0"/>
        <v>0</v>
      </c>
      <c r="K10" s="1">
        <f t="shared" si="1"/>
        <v>1</v>
      </c>
      <c r="L10" s="1">
        <f t="shared" si="2"/>
        <v>1</v>
      </c>
      <c r="M10" s="1">
        <f t="shared" si="3"/>
        <v>0</v>
      </c>
      <c r="N10" s="1" t="s">
        <v>30</v>
      </c>
      <c r="O10" s="1" t="s">
        <v>9</v>
      </c>
      <c r="P10" s="1" cm="1">
        <f t="array" ref="P10">_xlfn.SWITCH(O10,
"Never",1,
"Occasionally",2,
"Sometimes",3,
"Often",4,
"Always",5)</f>
        <v>3</v>
      </c>
      <c r="Q10" s="1" t="s">
        <v>8</v>
      </c>
      <c r="R10" s="1" t="s">
        <v>9</v>
      </c>
      <c r="S10" s="1" cm="1">
        <f t="array" ref="S10">_xlfn.SWITCH(R10,
"Never",1,
"Occasionally",2,
"Sometimes",3,
"Often",4,
"Always",5)</f>
        <v>3</v>
      </c>
      <c r="T10" s="1">
        <v>3</v>
      </c>
      <c r="U10" s="1">
        <v>3</v>
      </c>
      <c r="V10" s="1" t="s">
        <v>10</v>
      </c>
      <c r="W10" s="1" cm="1">
        <f t="array" ref="W10">_xlfn.SWITCH(V10,
"1 - Not important at all",1,
"2 - Slightly important",2,
"3 - Moderately important",3,
"4 - Important",4,
"5 - Very important",5)</f>
        <v>5</v>
      </c>
      <c r="X10" s="1" t="s">
        <v>12</v>
      </c>
      <c r="Y10" s="1" cm="1">
        <f t="array" ref="Y10">_xlfn.SWITCH(X10,
"1 - Not important at all",1,
"2 - Slightly important",2,
"3 - Moderately important",3,
"4 - Important",4,
"5 - Very important",5)</f>
        <v>4</v>
      </c>
      <c r="Z10" s="1" t="s">
        <v>12</v>
      </c>
      <c r="AA10" s="1" cm="1">
        <f t="array" ref="AA10">_xlfn.SWITCH(Z10,
"1 - Not important at all",1,
"2 - Slightly important",2,
"3 - Moderately important",3,
"4 - Important",4,
"5 - Very important",5)</f>
        <v>4</v>
      </c>
      <c r="AB10" s="1" t="s">
        <v>12</v>
      </c>
      <c r="AC10" s="1" cm="1">
        <f t="array" ref="AC10">_xlfn.SWITCH(AB10,
"1 - Not important at all",1,
"2 - Slightly important",2,
"3 - Moderately important",3,
"4 - Important",4,
"5 - Very important",5)</f>
        <v>4</v>
      </c>
      <c r="AD10" s="1" t="s">
        <v>12</v>
      </c>
      <c r="AE10" s="1" cm="1">
        <f t="array" ref="AE10">_xlfn.SWITCH(AD10,
"1 - Not important at all",1,
"2 - Slightly important",2,
"3 - Moderately important",3,
"4 - Important",4,
"5 - Very important",5)</f>
        <v>4</v>
      </c>
      <c r="AF10" s="1" t="s">
        <v>13</v>
      </c>
    </row>
    <row r="11" spans="1:32">
      <c r="A11">
        <v>10</v>
      </c>
      <c r="B11" s="1" t="s">
        <v>15</v>
      </c>
      <c r="C11" s="1" t="s">
        <v>3</v>
      </c>
      <c r="D11" s="1" t="s">
        <v>28</v>
      </c>
      <c r="E11" s="1" t="s">
        <v>34</v>
      </c>
      <c r="F11" s="1" t="s">
        <v>26</v>
      </c>
      <c r="G11" t="s">
        <v>6</v>
      </c>
      <c r="H11" t="s">
        <v>30</v>
      </c>
      <c r="I11" s="1">
        <f t="shared" si="4"/>
        <v>1</v>
      </c>
      <c r="J11" s="1">
        <f t="shared" si="0"/>
        <v>0</v>
      </c>
      <c r="K11" s="1">
        <f t="shared" si="1"/>
        <v>1</v>
      </c>
      <c r="L11" s="1">
        <f t="shared" si="2"/>
        <v>1</v>
      </c>
      <c r="M11" s="1">
        <f t="shared" si="3"/>
        <v>0</v>
      </c>
      <c r="N11" s="1" t="s">
        <v>6</v>
      </c>
      <c r="O11" s="1" t="s">
        <v>7</v>
      </c>
      <c r="P11" s="1" cm="1">
        <f t="array" ref="P11">_xlfn.SWITCH(O11,
"Never",1,
"Occasionally",2,
"Sometimes",3,
"Often",4,
"Always",5)</f>
        <v>2</v>
      </c>
      <c r="Q11" s="1" t="s">
        <v>8</v>
      </c>
      <c r="R11" s="1" t="s">
        <v>7</v>
      </c>
      <c r="S11" s="1" cm="1">
        <f t="array" ref="S11">_xlfn.SWITCH(R11,
"Never",1,
"Occasionally",2,
"Sometimes",3,
"Often",4,
"Always",5)</f>
        <v>2</v>
      </c>
      <c r="T11" s="1">
        <v>4</v>
      </c>
      <c r="U11" s="1">
        <v>3</v>
      </c>
      <c r="V11" s="1" t="s">
        <v>10</v>
      </c>
      <c r="W11" s="1" cm="1">
        <f t="array" ref="W11">_xlfn.SWITCH(V11,
"1 - Not important at all",1,
"2 - Slightly important",2,
"3 - Moderately important",3,
"4 - Important",4,
"5 - Very important",5)</f>
        <v>5</v>
      </c>
      <c r="X11" s="1" t="s">
        <v>10</v>
      </c>
      <c r="Y11" s="1" cm="1">
        <f t="array" ref="Y11">_xlfn.SWITCH(X11,
"1 - Not important at all",1,
"2 - Slightly important",2,
"3 - Moderately important",3,
"4 - Important",4,
"5 - Very important",5)</f>
        <v>5</v>
      </c>
      <c r="Z11" s="1" t="s">
        <v>11</v>
      </c>
      <c r="AA11" s="1" cm="1">
        <f t="array" ref="AA11">_xlfn.SWITCH(Z11,
"1 - Not important at all",1,
"2 - Slightly important",2,
"3 - Moderately important",3,
"4 - Important",4,
"5 - Very important",5)</f>
        <v>2</v>
      </c>
      <c r="AB11" s="1" t="s">
        <v>10</v>
      </c>
      <c r="AC11" s="1" cm="1">
        <f t="array" ref="AC11">_xlfn.SWITCH(AB11,
"1 - Not important at all",1,
"2 - Slightly important",2,
"3 - Moderately important",3,
"4 - Important",4,
"5 - Very important",5)</f>
        <v>5</v>
      </c>
      <c r="AD11" s="1" t="s">
        <v>10</v>
      </c>
      <c r="AE11" s="1" cm="1">
        <f t="array" ref="AE11">_xlfn.SWITCH(AD11,
"1 - Not important at all",1,
"2 - Slightly important",2,
"3 - Moderately important",3,
"4 - Important",4,
"5 - Very important",5)</f>
        <v>5</v>
      </c>
      <c r="AF11" s="1" t="s">
        <v>16</v>
      </c>
    </row>
    <row r="12" spans="1:32">
      <c r="A12">
        <v>11</v>
      </c>
      <c r="B12" s="1" t="s">
        <v>15</v>
      </c>
      <c r="C12" s="1" t="s">
        <v>18</v>
      </c>
      <c r="D12" s="1" t="s">
        <v>4</v>
      </c>
      <c r="E12" s="1" t="s">
        <v>5</v>
      </c>
      <c r="F12" s="1" t="s">
        <v>26</v>
      </c>
      <c r="G12" t="s">
        <v>55</v>
      </c>
      <c r="H12" t="s">
        <v>6</v>
      </c>
      <c r="I12" s="1">
        <f t="shared" si="4"/>
        <v>1</v>
      </c>
      <c r="J12" s="1">
        <f t="shared" si="0"/>
        <v>1</v>
      </c>
      <c r="K12" s="1">
        <f t="shared" si="1"/>
        <v>1</v>
      </c>
      <c r="L12" s="1">
        <f t="shared" si="2"/>
        <v>0</v>
      </c>
      <c r="M12" s="1">
        <f t="shared" si="3"/>
        <v>0</v>
      </c>
      <c r="N12" s="1" t="s">
        <v>6</v>
      </c>
      <c r="O12" s="1" t="s">
        <v>37</v>
      </c>
      <c r="P12" s="1" cm="1">
        <f t="array" ref="P12">_xlfn.SWITCH(O12,
"Never",1,
"Occasionally",2,
"Sometimes",3,
"Often",4,
"Always",5)</f>
        <v>4</v>
      </c>
      <c r="Q12" s="1" t="s">
        <v>38</v>
      </c>
      <c r="R12" s="1" t="s">
        <v>37</v>
      </c>
      <c r="S12" s="1" cm="1">
        <f t="array" ref="S12">_xlfn.SWITCH(R12,
"Never",1,
"Occasionally",2,
"Sometimes",3,
"Often",4,
"Always",5)</f>
        <v>4</v>
      </c>
      <c r="T12" s="1">
        <v>3</v>
      </c>
      <c r="U12" s="1">
        <v>2</v>
      </c>
      <c r="V12" s="1" t="s">
        <v>10</v>
      </c>
      <c r="W12" s="1" cm="1">
        <f t="array" ref="W12">_xlfn.SWITCH(V12,
"1 - Not important at all",1,
"2 - Slightly important",2,
"3 - Moderately important",3,
"4 - Important",4,
"5 - Very important",5)</f>
        <v>5</v>
      </c>
      <c r="X12" s="1" t="s">
        <v>10</v>
      </c>
      <c r="Y12" s="1" cm="1">
        <f t="array" ref="Y12">_xlfn.SWITCH(X12,
"1 - Not important at all",1,
"2 - Slightly important",2,
"3 - Moderately important",3,
"4 - Important",4,
"5 - Very important",5)</f>
        <v>5</v>
      </c>
      <c r="Z12" s="1" t="s">
        <v>10</v>
      </c>
      <c r="AA12" s="1" cm="1">
        <f t="array" ref="AA12">_xlfn.SWITCH(Z12,
"1 - Not important at all",1,
"2 - Slightly important",2,
"3 - Moderately important",3,
"4 - Important",4,
"5 - Very important",5)</f>
        <v>5</v>
      </c>
      <c r="AB12" s="1" t="s">
        <v>10</v>
      </c>
      <c r="AC12" s="1" cm="1">
        <f t="array" ref="AC12">_xlfn.SWITCH(AB12,
"1 - Not important at all",1,
"2 - Slightly important",2,
"3 - Moderately important",3,
"4 - Important",4,
"5 - Very important",5)</f>
        <v>5</v>
      </c>
      <c r="AD12" s="1" t="s">
        <v>10</v>
      </c>
      <c r="AE12" s="1" cm="1">
        <f t="array" ref="AE12">_xlfn.SWITCH(AD12,
"1 - Not important at all",1,
"2 - Slightly important",2,
"3 - Moderately important",3,
"4 - Important",4,
"5 - Very important",5)</f>
        <v>5</v>
      </c>
      <c r="AF12" s="1" t="s">
        <v>16</v>
      </c>
    </row>
    <row r="13" spans="1:32">
      <c r="A13">
        <v>12</v>
      </c>
      <c r="B13" s="1" t="s">
        <v>15</v>
      </c>
      <c r="C13" s="1" t="s">
        <v>3</v>
      </c>
      <c r="D13" s="1" t="s">
        <v>4</v>
      </c>
      <c r="E13" s="1" t="s">
        <v>34</v>
      </c>
      <c r="F13" s="1" t="s">
        <v>26</v>
      </c>
      <c r="G13" t="s">
        <v>6</v>
      </c>
      <c r="H13" t="s">
        <v>30</v>
      </c>
      <c r="I13" s="1">
        <f t="shared" si="4"/>
        <v>1</v>
      </c>
      <c r="J13" s="1">
        <f t="shared" si="0"/>
        <v>0</v>
      </c>
      <c r="K13" s="1">
        <f t="shared" si="1"/>
        <v>1</v>
      </c>
      <c r="L13" s="1">
        <f t="shared" si="2"/>
        <v>1</v>
      </c>
      <c r="M13" s="1">
        <f t="shared" si="3"/>
        <v>0</v>
      </c>
      <c r="N13" s="1" t="s">
        <v>6</v>
      </c>
      <c r="O13" s="1" t="s">
        <v>7</v>
      </c>
      <c r="P13" s="1" cm="1">
        <f t="array" ref="P13">_xlfn.SWITCH(O13,
"Never",1,
"Occasionally",2,
"Sometimes",3,
"Often",4,
"Always",5)</f>
        <v>2</v>
      </c>
      <c r="Q13" s="1" t="s">
        <v>8</v>
      </c>
      <c r="R13" s="1" t="s">
        <v>40</v>
      </c>
      <c r="S13" s="1" cm="1">
        <f t="array" ref="S13">_xlfn.SWITCH(R13,
"Never",1,
"Occasionally",2,
"Sometimes",3,
"Often",4,
"Always",5)</f>
        <v>5</v>
      </c>
      <c r="T13" s="1">
        <v>4</v>
      </c>
      <c r="U13" s="1">
        <v>4</v>
      </c>
      <c r="V13" s="1" t="s">
        <v>12</v>
      </c>
      <c r="W13" s="1" cm="1">
        <f t="array" ref="W13">_xlfn.SWITCH(V13,
"1 - Not important at all",1,
"2 - Slightly important",2,
"3 - Moderately important",3,
"4 - Important",4,
"5 - Very important",5)</f>
        <v>4</v>
      </c>
      <c r="X13" s="1" t="s">
        <v>19</v>
      </c>
      <c r="Y13" s="1" cm="1">
        <f t="array" ref="Y13">_xlfn.SWITCH(X13,
"1 - Not important at all",1,
"2 - Slightly important",2,
"3 - Moderately important",3,
"4 - Important",4,
"5 - Very important",5)</f>
        <v>3</v>
      </c>
      <c r="Z13" s="1" t="s">
        <v>12</v>
      </c>
      <c r="AA13" s="1" cm="1">
        <f t="array" ref="AA13">_xlfn.SWITCH(Z13,
"1 - Not important at all",1,
"2 - Slightly important",2,
"3 - Moderately important",3,
"4 - Important",4,
"5 - Very important",5)</f>
        <v>4</v>
      </c>
      <c r="AB13" s="1" t="s">
        <v>19</v>
      </c>
      <c r="AC13" s="1" cm="1">
        <f t="array" ref="AC13">_xlfn.SWITCH(AB13,
"1 - Not important at all",1,
"2 - Slightly important",2,
"3 - Moderately important",3,
"4 - Important",4,
"5 - Very important",5)</f>
        <v>3</v>
      </c>
      <c r="AD13" s="1" t="s">
        <v>19</v>
      </c>
      <c r="AE13" s="1" cm="1">
        <f t="array" ref="AE13">_xlfn.SWITCH(AD13,
"1 - Not important at all",1,
"2 - Slightly important",2,
"3 - Moderately important",3,
"4 - Important",4,
"5 - Very important",5)</f>
        <v>3</v>
      </c>
      <c r="AF13" s="1" t="s">
        <v>13</v>
      </c>
    </row>
    <row r="14" spans="1:32">
      <c r="A14">
        <v>13</v>
      </c>
      <c r="B14" s="1" t="s">
        <v>15</v>
      </c>
      <c r="C14" s="1" t="s">
        <v>3</v>
      </c>
      <c r="D14" s="1" t="s">
        <v>4</v>
      </c>
      <c r="E14" s="1" t="s">
        <v>5</v>
      </c>
      <c r="F14" s="1" t="s">
        <v>26</v>
      </c>
      <c r="G14" t="s">
        <v>55</v>
      </c>
      <c r="H14" t="s">
        <v>6</v>
      </c>
      <c r="I14" s="1">
        <f t="shared" si="4"/>
        <v>1</v>
      </c>
      <c r="J14" s="1">
        <f t="shared" si="0"/>
        <v>1</v>
      </c>
      <c r="K14" s="1">
        <f t="shared" si="1"/>
        <v>1</v>
      </c>
      <c r="L14" s="1">
        <f t="shared" si="2"/>
        <v>0</v>
      </c>
      <c r="M14" s="1">
        <f t="shared" si="3"/>
        <v>0</v>
      </c>
      <c r="N14" s="1" t="s">
        <v>26</v>
      </c>
      <c r="O14" s="1" t="s">
        <v>7</v>
      </c>
      <c r="P14" s="1" cm="1">
        <f t="array" ref="P14">_xlfn.SWITCH(O14,
"Never",1,
"Occasionally",2,
"Sometimes",3,
"Often",4,
"Always",5)</f>
        <v>2</v>
      </c>
      <c r="Q14" s="1" t="s">
        <v>8</v>
      </c>
      <c r="R14" s="1" t="s">
        <v>9</v>
      </c>
      <c r="S14" s="1" cm="1">
        <f t="array" ref="S14">_xlfn.SWITCH(R14,
"Never",1,
"Occasionally",2,
"Sometimes",3,
"Often",4,
"Always",5)</f>
        <v>3</v>
      </c>
      <c r="T14" s="1">
        <v>3</v>
      </c>
      <c r="U14" s="1">
        <v>4</v>
      </c>
      <c r="V14" s="1" t="s">
        <v>12</v>
      </c>
      <c r="W14" s="1" cm="1">
        <f t="array" ref="W14">_xlfn.SWITCH(V14,
"1 - Not important at all",1,
"2 - Slightly important",2,
"3 - Moderately important",3,
"4 - Important",4,
"5 - Very important",5)</f>
        <v>4</v>
      </c>
      <c r="X14" s="1" t="s">
        <v>11</v>
      </c>
      <c r="Y14" s="1" cm="1">
        <f t="array" ref="Y14">_xlfn.SWITCH(X14,
"1 - Not important at all",1,
"2 - Slightly important",2,
"3 - Moderately important",3,
"4 - Important",4,
"5 - Very important",5)</f>
        <v>2</v>
      </c>
      <c r="Z14" s="1" t="s">
        <v>19</v>
      </c>
      <c r="AA14" s="1" cm="1">
        <f t="array" ref="AA14">_xlfn.SWITCH(Z14,
"1 - Not important at all",1,
"2 - Slightly important",2,
"3 - Moderately important",3,
"4 - Important",4,
"5 - Very important",5)</f>
        <v>3</v>
      </c>
      <c r="AB14" s="1" t="s">
        <v>12</v>
      </c>
      <c r="AC14" s="1" cm="1">
        <f t="array" ref="AC14">_xlfn.SWITCH(AB14,
"1 - Not important at all",1,
"2 - Slightly important",2,
"3 - Moderately important",3,
"4 - Important",4,
"5 - Very important",5)</f>
        <v>4</v>
      </c>
      <c r="AD14" s="1" t="s">
        <v>12</v>
      </c>
      <c r="AE14" s="1" cm="1">
        <f t="array" ref="AE14">_xlfn.SWITCH(AD14,
"1 - Not important at all",1,
"2 - Slightly important",2,
"3 - Moderately important",3,
"4 - Important",4,
"5 - Very important",5)</f>
        <v>4</v>
      </c>
      <c r="AF14" s="1" t="s">
        <v>42</v>
      </c>
    </row>
    <row r="15" spans="1:32">
      <c r="A15">
        <v>14</v>
      </c>
      <c r="B15" s="1" t="s">
        <v>15</v>
      </c>
      <c r="C15" s="1" t="s">
        <v>3</v>
      </c>
      <c r="D15" s="1" t="s">
        <v>4</v>
      </c>
      <c r="E15" s="1" t="s">
        <v>21</v>
      </c>
      <c r="F15" s="1" t="s">
        <v>26</v>
      </c>
      <c r="G15" t="s">
        <v>6</v>
      </c>
      <c r="I15" s="1">
        <f t="shared" si="4"/>
        <v>1</v>
      </c>
      <c r="J15" s="1">
        <f t="shared" si="0"/>
        <v>0</v>
      </c>
      <c r="K15" s="1">
        <f t="shared" si="1"/>
        <v>1</v>
      </c>
      <c r="L15" s="1">
        <f t="shared" si="2"/>
        <v>0</v>
      </c>
      <c r="M15" s="1">
        <f t="shared" si="3"/>
        <v>0</v>
      </c>
      <c r="N15" s="1" t="s">
        <v>6</v>
      </c>
      <c r="O15" s="1" t="s">
        <v>7</v>
      </c>
      <c r="P15" s="1" cm="1">
        <f t="array" ref="P15">_xlfn.SWITCH(O15,
"Never",1,
"Occasionally",2,
"Sometimes",3,
"Often",4,
"Always",5)</f>
        <v>2</v>
      </c>
      <c r="Q15" s="1" t="s">
        <v>8</v>
      </c>
      <c r="R15" s="1" t="s">
        <v>7</v>
      </c>
      <c r="S15" s="1" cm="1">
        <f t="array" ref="S15">_xlfn.SWITCH(R15,
"Never",1,
"Occasionally",2,
"Sometimes",3,
"Often",4,
"Always",5)</f>
        <v>2</v>
      </c>
      <c r="T15" s="1">
        <v>4</v>
      </c>
      <c r="U15" s="1">
        <v>3</v>
      </c>
      <c r="V15" s="1" t="s">
        <v>10</v>
      </c>
      <c r="W15" s="1" cm="1">
        <f t="array" ref="W15">_xlfn.SWITCH(V15,
"1 - Not important at all",1,
"2 - Slightly important",2,
"3 - Moderately important",3,
"4 - Important",4,
"5 - Very important",5)</f>
        <v>5</v>
      </c>
      <c r="X15" s="1" t="s">
        <v>10</v>
      </c>
      <c r="Y15" s="1" cm="1">
        <f t="array" ref="Y15">_xlfn.SWITCH(X15,
"1 - Not important at all",1,
"2 - Slightly important",2,
"3 - Moderately important",3,
"4 - Important",4,
"5 - Very important",5)</f>
        <v>5</v>
      </c>
      <c r="Z15" s="1" t="s">
        <v>19</v>
      </c>
      <c r="AA15" s="1" cm="1">
        <f t="array" ref="AA15">_xlfn.SWITCH(Z15,
"1 - Not important at all",1,
"2 - Slightly important",2,
"3 - Moderately important",3,
"4 - Important",4,
"5 - Very important",5)</f>
        <v>3</v>
      </c>
      <c r="AB15" s="1" t="s">
        <v>10</v>
      </c>
      <c r="AC15" s="1" cm="1">
        <f t="array" ref="AC15">_xlfn.SWITCH(AB15,
"1 - Not important at all",1,
"2 - Slightly important",2,
"3 - Moderately important",3,
"4 - Important",4,
"5 - Very important",5)</f>
        <v>5</v>
      </c>
      <c r="AD15" s="1" t="s">
        <v>10</v>
      </c>
      <c r="AE15" s="1" cm="1">
        <f t="array" ref="AE15">_xlfn.SWITCH(AD15,
"1 - Not important at all",1,
"2 - Slightly important",2,
"3 - Moderately important",3,
"4 - Important",4,
"5 - Very important",5)</f>
        <v>5</v>
      </c>
      <c r="AF15" s="1" t="s">
        <v>16</v>
      </c>
    </row>
    <row r="16" spans="1:32">
      <c r="A16">
        <v>15</v>
      </c>
      <c r="B16" s="1" t="s">
        <v>15</v>
      </c>
      <c r="C16" s="1" t="s">
        <v>3</v>
      </c>
      <c r="D16" s="1" t="s">
        <v>24</v>
      </c>
      <c r="E16" s="1" t="s">
        <v>34</v>
      </c>
      <c r="F16" s="1" t="s">
        <v>26</v>
      </c>
      <c r="G16" t="s">
        <v>6</v>
      </c>
      <c r="H16" t="s">
        <v>30</v>
      </c>
      <c r="I16" s="1">
        <f t="shared" si="4"/>
        <v>1</v>
      </c>
      <c r="J16" s="1">
        <f t="shared" si="0"/>
        <v>0</v>
      </c>
      <c r="K16" s="1">
        <f t="shared" si="1"/>
        <v>1</v>
      </c>
      <c r="L16" s="1">
        <f t="shared" si="2"/>
        <v>1</v>
      </c>
      <c r="M16" s="1">
        <f t="shared" si="3"/>
        <v>0</v>
      </c>
      <c r="N16" s="1" t="s">
        <v>30</v>
      </c>
      <c r="O16" s="1" t="s">
        <v>7</v>
      </c>
      <c r="P16" s="1" cm="1">
        <f t="array" ref="P16">_xlfn.SWITCH(O16,
"Never",1,
"Occasionally",2,
"Sometimes",3,
"Often",4,
"Always",5)</f>
        <v>2</v>
      </c>
      <c r="Q16" s="1" t="s">
        <v>8</v>
      </c>
      <c r="R16" s="1" t="s">
        <v>22</v>
      </c>
      <c r="S16" s="1" cm="1">
        <f t="array" ref="S16">_xlfn.SWITCH(R16,
"Never",1,
"Occasionally",2,
"Sometimes",3,
"Often",4,
"Always",5)</f>
        <v>1</v>
      </c>
      <c r="T16" s="1">
        <v>3</v>
      </c>
      <c r="U16" s="1">
        <v>3</v>
      </c>
      <c r="V16" s="1" t="s">
        <v>10</v>
      </c>
      <c r="W16" s="1" cm="1">
        <f t="array" ref="W16">_xlfn.SWITCH(V16,
"1 - Not important at all",1,
"2 - Slightly important",2,
"3 - Moderately important",3,
"4 - Important",4,
"5 - Very important",5)</f>
        <v>5</v>
      </c>
      <c r="X16" s="1" t="s">
        <v>10</v>
      </c>
      <c r="Y16" s="1" cm="1">
        <f t="array" ref="Y16">_xlfn.SWITCH(X16,
"1 - Not important at all",1,
"2 - Slightly important",2,
"3 - Moderately important",3,
"4 - Important",4,
"5 - Very important",5)</f>
        <v>5</v>
      </c>
      <c r="Z16" s="1" t="s">
        <v>19</v>
      </c>
      <c r="AA16" s="1" cm="1">
        <f t="array" ref="AA16">_xlfn.SWITCH(Z16,
"1 - Not important at all",1,
"2 - Slightly important",2,
"3 - Moderately important",3,
"4 - Important",4,
"5 - Very important",5)</f>
        <v>3</v>
      </c>
      <c r="AB16" s="1" t="s">
        <v>12</v>
      </c>
      <c r="AC16" s="1" cm="1">
        <f t="array" ref="AC16">_xlfn.SWITCH(AB16,
"1 - Not important at all",1,
"2 - Slightly important",2,
"3 - Moderately important",3,
"4 - Important",4,
"5 - Very important",5)</f>
        <v>4</v>
      </c>
      <c r="AD16" s="1" t="s">
        <v>10</v>
      </c>
      <c r="AE16" s="1" cm="1">
        <f t="array" ref="AE16">_xlfn.SWITCH(AD16,
"1 - Not important at all",1,
"2 - Slightly important",2,
"3 - Moderately important",3,
"4 - Important",4,
"5 - Very important",5)</f>
        <v>5</v>
      </c>
      <c r="AF16" s="1" t="s">
        <v>13</v>
      </c>
    </row>
    <row r="17" spans="1:32">
      <c r="A17">
        <v>16</v>
      </c>
      <c r="B17" s="1" t="s">
        <v>2</v>
      </c>
      <c r="C17" s="1" t="s">
        <v>3</v>
      </c>
      <c r="D17" s="1" t="s">
        <v>28</v>
      </c>
      <c r="E17" s="1" t="s">
        <v>46</v>
      </c>
      <c r="F17" s="1" t="s">
        <v>26</v>
      </c>
      <c r="G17" t="s">
        <v>55</v>
      </c>
      <c r="I17" s="1">
        <f t="shared" si="4"/>
        <v>1</v>
      </c>
      <c r="J17" s="1">
        <f t="shared" si="0"/>
        <v>1</v>
      </c>
      <c r="K17" s="1">
        <f t="shared" si="1"/>
        <v>0</v>
      </c>
      <c r="L17" s="1">
        <f t="shared" si="2"/>
        <v>0</v>
      </c>
      <c r="M17" s="1">
        <f t="shared" si="3"/>
        <v>0</v>
      </c>
      <c r="N17" s="1" t="s">
        <v>6</v>
      </c>
      <c r="O17" s="1" t="s">
        <v>9</v>
      </c>
      <c r="P17" s="1" cm="1">
        <f t="array" ref="P17">_xlfn.SWITCH(O17,
"Never",1,
"Occasionally",2,
"Sometimes",3,
"Often",4,
"Always",5)</f>
        <v>3</v>
      </c>
      <c r="Q17" s="1" t="s">
        <v>38</v>
      </c>
      <c r="R17" s="1" t="s">
        <v>9</v>
      </c>
      <c r="S17" s="1" cm="1">
        <f t="array" ref="S17">_xlfn.SWITCH(R17,
"Never",1,
"Occasionally",2,
"Sometimes",3,
"Often",4,
"Always",5)</f>
        <v>3</v>
      </c>
      <c r="T17" s="1">
        <v>3</v>
      </c>
      <c r="U17" s="1">
        <v>4</v>
      </c>
      <c r="V17" s="1" t="s">
        <v>10</v>
      </c>
      <c r="W17" s="1" cm="1">
        <f t="array" ref="W17">_xlfn.SWITCH(V17,
"1 - Not important at all",1,
"2 - Slightly important",2,
"3 - Moderately important",3,
"4 - Important",4,
"5 - Very important",5)</f>
        <v>5</v>
      </c>
      <c r="X17" s="1" t="s">
        <v>10</v>
      </c>
      <c r="Y17" s="1" cm="1">
        <f t="array" ref="Y17">_xlfn.SWITCH(X17,
"1 - Not important at all",1,
"2 - Slightly important",2,
"3 - Moderately important",3,
"4 - Important",4,
"5 - Very important",5)</f>
        <v>5</v>
      </c>
      <c r="Z17" s="1" t="s">
        <v>19</v>
      </c>
      <c r="AA17" s="1" cm="1">
        <f t="array" ref="AA17">_xlfn.SWITCH(Z17,
"1 - Not important at all",1,
"2 - Slightly important",2,
"3 - Moderately important",3,
"4 - Important",4,
"5 - Very important",5)</f>
        <v>3</v>
      </c>
      <c r="AB17" s="1" t="s">
        <v>10</v>
      </c>
      <c r="AC17" s="1" cm="1">
        <f t="array" ref="AC17">_xlfn.SWITCH(AB17,
"1 - Not important at all",1,
"2 - Slightly important",2,
"3 - Moderately important",3,
"4 - Important",4,
"5 - Very important",5)</f>
        <v>5</v>
      </c>
      <c r="AD17" s="1" t="s">
        <v>10</v>
      </c>
      <c r="AE17" s="1" cm="1">
        <f t="array" ref="AE17">_xlfn.SWITCH(AD17,
"1 - Not important at all",1,
"2 - Slightly important",2,
"3 - Moderately important",3,
"4 - Important",4,
"5 - Very important",5)</f>
        <v>5</v>
      </c>
      <c r="AF17" s="1" t="s">
        <v>47</v>
      </c>
    </row>
    <row r="18" spans="1:32">
      <c r="A18">
        <v>17</v>
      </c>
      <c r="B18" s="1" t="s">
        <v>15</v>
      </c>
      <c r="C18" s="1" t="s">
        <v>18</v>
      </c>
      <c r="D18" s="1" t="s">
        <v>24</v>
      </c>
      <c r="E18" s="1" t="s">
        <v>5</v>
      </c>
      <c r="F18" s="1" t="s">
        <v>26</v>
      </c>
      <c r="G18" t="s">
        <v>55</v>
      </c>
      <c r="H18" t="s">
        <v>6</v>
      </c>
      <c r="I18" s="1">
        <f t="shared" si="4"/>
        <v>1</v>
      </c>
      <c r="J18" s="1">
        <f t="shared" si="0"/>
        <v>1</v>
      </c>
      <c r="K18" s="1">
        <f t="shared" si="1"/>
        <v>1</v>
      </c>
      <c r="L18" s="1">
        <f t="shared" si="2"/>
        <v>0</v>
      </c>
      <c r="M18" s="1">
        <f t="shared" si="3"/>
        <v>0</v>
      </c>
      <c r="N18" s="1" t="s">
        <v>30</v>
      </c>
      <c r="O18" s="1" t="s">
        <v>7</v>
      </c>
      <c r="P18" s="1" cm="1">
        <f t="array" ref="P18">_xlfn.SWITCH(O18,
"Never",1,
"Occasionally",2,
"Sometimes",3,
"Often",4,
"Always",5)</f>
        <v>2</v>
      </c>
      <c r="Q18" s="1" t="s">
        <v>8</v>
      </c>
      <c r="R18" s="1" t="s">
        <v>7</v>
      </c>
      <c r="S18" s="1" cm="1">
        <f t="array" ref="S18">_xlfn.SWITCH(R18,
"Never",1,
"Occasionally",2,
"Sometimes",3,
"Often",4,
"Always",5)</f>
        <v>2</v>
      </c>
      <c r="T18" s="1">
        <v>3</v>
      </c>
      <c r="U18" s="1">
        <v>3</v>
      </c>
      <c r="V18" s="1" t="s">
        <v>10</v>
      </c>
      <c r="W18" s="1" cm="1">
        <f t="array" ref="W18">_xlfn.SWITCH(V18,
"1 - Not important at all",1,
"2 - Slightly important",2,
"3 - Moderately important",3,
"4 - Important",4,
"5 - Very important",5)</f>
        <v>5</v>
      </c>
      <c r="X18" s="1" t="s">
        <v>10</v>
      </c>
      <c r="Y18" s="1" cm="1">
        <f t="array" ref="Y18">_xlfn.SWITCH(X18,
"1 - Not important at all",1,
"2 - Slightly important",2,
"3 - Moderately important",3,
"4 - Important",4,
"5 - Very important",5)</f>
        <v>5</v>
      </c>
      <c r="Z18" s="1" t="s">
        <v>12</v>
      </c>
      <c r="AA18" s="1" cm="1">
        <f t="array" ref="AA18">_xlfn.SWITCH(Z18,
"1 - Not important at all",1,
"2 - Slightly important",2,
"3 - Moderately important",3,
"4 - Important",4,
"5 - Very important",5)</f>
        <v>4</v>
      </c>
      <c r="AB18" s="1" t="s">
        <v>10</v>
      </c>
      <c r="AC18" s="1" cm="1">
        <f t="array" ref="AC18">_xlfn.SWITCH(AB18,
"1 - Not important at all",1,
"2 - Slightly important",2,
"3 - Moderately important",3,
"4 - Important",4,
"5 - Very important",5)</f>
        <v>5</v>
      </c>
      <c r="AD18" s="1" t="s">
        <v>10</v>
      </c>
      <c r="AE18" s="1" cm="1">
        <f t="array" ref="AE18">_xlfn.SWITCH(AD18,
"1 - Not important at all",1,
"2 - Slightly important",2,
"3 - Moderately important",3,
"4 - Important",4,
"5 - Very important",5)</f>
        <v>5</v>
      </c>
      <c r="AF18" s="1" t="s">
        <v>42</v>
      </c>
    </row>
    <row r="19" spans="1:32">
      <c r="A19">
        <v>18</v>
      </c>
      <c r="B19" s="1" t="s">
        <v>15</v>
      </c>
      <c r="C19" s="1" t="s">
        <v>3</v>
      </c>
      <c r="D19" s="1" t="s">
        <v>24</v>
      </c>
      <c r="E19" s="1" t="s">
        <v>50</v>
      </c>
      <c r="F19" s="1" t="s">
        <v>55</v>
      </c>
      <c r="G19" t="s">
        <v>6</v>
      </c>
      <c r="H19" t="s">
        <v>30</v>
      </c>
      <c r="I19" s="1">
        <f t="shared" si="4"/>
        <v>0</v>
      </c>
      <c r="J19" s="1">
        <f t="shared" si="0"/>
        <v>1</v>
      </c>
      <c r="K19" s="1">
        <f t="shared" si="1"/>
        <v>1</v>
      </c>
      <c r="L19" s="1">
        <f t="shared" si="2"/>
        <v>1</v>
      </c>
      <c r="M19" s="1">
        <f t="shared" si="3"/>
        <v>0</v>
      </c>
      <c r="N19" s="1" t="s">
        <v>6</v>
      </c>
      <c r="O19" s="1" t="s">
        <v>40</v>
      </c>
      <c r="P19" s="1" cm="1">
        <f t="array" ref="P19">_xlfn.SWITCH(O19,
"Never",1,
"Occasionally",2,
"Sometimes",3,
"Often",4,
"Always",5)</f>
        <v>5</v>
      </c>
      <c r="Q19" s="1" t="s">
        <v>8</v>
      </c>
      <c r="R19" s="1" t="s">
        <v>9</v>
      </c>
      <c r="S19" s="1" cm="1">
        <f t="array" ref="S19">_xlfn.SWITCH(R19,
"Never",1,
"Occasionally",2,
"Sometimes",3,
"Often",4,
"Always",5)</f>
        <v>3</v>
      </c>
      <c r="T19" s="1">
        <v>4</v>
      </c>
      <c r="U19" s="1">
        <v>4</v>
      </c>
      <c r="V19" s="1" t="s">
        <v>10</v>
      </c>
      <c r="W19" s="1" cm="1">
        <f t="array" ref="W19">_xlfn.SWITCH(V19,
"1 - Not important at all",1,
"2 - Slightly important",2,
"3 - Moderately important",3,
"4 - Important",4,
"5 - Very important",5)</f>
        <v>5</v>
      </c>
      <c r="X19" s="1" t="s">
        <v>10</v>
      </c>
      <c r="Y19" s="1" cm="1">
        <f t="array" ref="Y19">_xlfn.SWITCH(X19,
"1 - Not important at all",1,
"2 - Slightly important",2,
"3 - Moderately important",3,
"4 - Important",4,
"5 - Very important",5)</f>
        <v>5</v>
      </c>
      <c r="Z19" s="1" t="s">
        <v>11</v>
      </c>
      <c r="AA19" s="1" cm="1">
        <f t="array" ref="AA19">_xlfn.SWITCH(Z19,
"1 - Not important at all",1,
"2 - Slightly important",2,
"3 - Moderately important",3,
"4 - Important",4,
"5 - Very important",5)</f>
        <v>2</v>
      </c>
      <c r="AB19" s="1" t="s">
        <v>10</v>
      </c>
      <c r="AC19" s="1" cm="1">
        <f t="array" ref="AC19">_xlfn.SWITCH(AB19,
"1 - Not important at all",1,
"2 - Slightly important",2,
"3 - Moderately important",3,
"4 - Important",4,
"5 - Very important",5)</f>
        <v>5</v>
      </c>
      <c r="AD19" s="1" t="s">
        <v>10</v>
      </c>
      <c r="AE19" s="1" cm="1">
        <f t="array" ref="AE19">_xlfn.SWITCH(AD19,
"1 - Not important at all",1,
"2 - Slightly important",2,
"3 - Moderately important",3,
"4 - Important",4,
"5 - Very important",5)</f>
        <v>5</v>
      </c>
      <c r="AF19" s="1" t="s">
        <v>16</v>
      </c>
    </row>
    <row r="20" spans="1:32">
      <c r="A20">
        <v>19</v>
      </c>
      <c r="B20" s="1" t="s">
        <v>2</v>
      </c>
      <c r="C20" s="1" t="s">
        <v>18</v>
      </c>
      <c r="D20" s="1" t="s">
        <v>24</v>
      </c>
      <c r="E20" s="1" t="s">
        <v>5</v>
      </c>
      <c r="F20" s="1" t="s">
        <v>26</v>
      </c>
      <c r="G20" t="s">
        <v>55</v>
      </c>
      <c r="H20" t="s">
        <v>6</v>
      </c>
      <c r="I20" s="1">
        <f t="shared" si="4"/>
        <v>1</v>
      </c>
      <c r="J20" s="1">
        <f t="shared" si="0"/>
        <v>1</v>
      </c>
      <c r="K20" s="1">
        <f t="shared" si="1"/>
        <v>1</v>
      </c>
      <c r="L20" s="1">
        <f t="shared" si="2"/>
        <v>0</v>
      </c>
      <c r="M20" s="1">
        <f t="shared" si="3"/>
        <v>0</v>
      </c>
      <c r="N20" s="1" t="s">
        <v>6</v>
      </c>
      <c r="O20" s="1" t="s">
        <v>9</v>
      </c>
      <c r="P20" s="1" cm="1">
        <f t="array" ref="P20">_xlfn.SWITCH(O20,
"Never",1,
"Occasionally",2,
"Sometimes",3,
"Often",4,
"Always",5)</f>
        <v>3</v>
      </c>
      <c r="Q20" s="1" t="s">
        <v>8</v>
      </c>
      <c r="R20" s="1" t="s">
        <v>9</v>
      </c>
      <c r="S20" s="1" cm="1">
        <f t="array" ref="S20">_xlfn.SWITCH(R20,
"Never",1,
"Occasionally",2,
"Sometimes",3,
"Often",4,
"Always",5)</f>
        <v>3</v>
      </c>
      <c r="T20" s="1">
        <v>4</v>
      </c>
      <c r="U20" s="1">
        <v>4</v>
      </c>
      <c r="V20" s="1" t="s">
        <v>10</v>
      </c>
      <c r="W20" s="1" cm="1">
        <f t="array" ref="W20">_xlfn.SWITCH(V20,
"1 - Not important at all",1,
"2 - Slightly important",2,
"3 - Moderately important",3,
"4 - Important",4,
"5 - Very important",5)</f>
        <v>5</v>
      </c>
      <c r="X20" s="1" t="s">
        <v>10</v>
      </c>
      <c r="Y20" s="1" cm="1">
        <f t="array" ref="Y20">_xlfn.SWITCH(X20,
"1 - Not important at all",1,
"2 - Slightly important",2,
"3 - Moderately important",3,
"4 - Important",4,
"5 - Very important",5)</f>
        <v>5</v>
      </c>
      <c r="Z20" s="1" t="s">
        <v>19</v>
      </c>
      <c r="AA20" s="1" cm="1">
        <f t="array" ref="AA20">_xlfn.SWITCH(Z20,
"1 - Not important at all",1,
"2 - Slightly important",2,
"3 - Moderately important",3,
"4 - Important",4,
"5 - Very important",5)</f>
        <v>3</v>
      </c>
      <c r="AB20" s="1" t="s">
        <v>10</v>
      </c>
      <c r="AC20" s="1" cm="1">
        <f t="array" ref="AC20">_xlfn.SWITCH(AB20,
"1 - Not important at all",1,
"2 - Slightly important",2,
"3 - Moderately important",3,
"4 - Important",4,
"5 - Very important",5)</f>
        <v>5</v>
      </c>
      <c r="AD20" s="1" t="s">
        <v>10</v>
      </c>
      <c r="AE20" s="1" cm="1">
        <f t="array" ref="AE20">_xlfn.SWITCH(AD20,
"1 - Not important at all",1,
"2 - Slightly important",2,
"3 - Moderately important",3,
"4 - Important",4,
"5 - Very important",5)</f>
        <v>5</v>
      </c>
      <c r="AF20" s="1" t="s">
        <v>13</v>
      </c>
    </row>
    <row r="21" spans="1:32">
      <c r="A21">
        <v>20</v>
      </c>
      <c r="B21" s="1" t="s">
        <v>15</v>
      </c>
      <c r="C21" s="1" t="s">
        <v>3</v>
      </c>
      <c r="D21" s="1" t="s">
        <v>4</v>
      </c>
      <c r="E21" s="1" t="s">
        <v>21</v>
      </c>
      <c r="F21" s="1" t="s">
        <v>26</v>
      </c>
      <c r="G21" t="s">
        <v>6</v>
      </c>
      <c r="I21" s="1">
        <f t="shared" si="4"/>
        <v>1</v>
      </c>
      <c r="J21" s="1">
        <f t="shared" si="0"/>
        <v>0</v>
      </c>
      <c r="K21" s="1">
        <f t="shared" si="1"/>
        <v>1</v>
      </c>
      <c r="L21" s="1">
        <f t="shared" si="2"/>
        <v>0</v>
      </c>
      <c r="M21" s="1">
        <f t="shared" si="3"/>
        <v>0</v>
      </c>
      <c r="N21" s="1" t="s">
        <v>26</v>
      </c>
      <c r="O21" s="1" t="s">
        <v>9</v>
      </c>
      <c r="P21" s="1" cm="1">
        <f t="array" ref="P21">_xlfn.SWITCH(O21,
"Never",1,
"Occasionally",2,
"Sometimes",3,
"Often",4,
"Always",5)</f>
        <v>3</v>
      </c>
      <c r="Q21" s="1" t="s">
        <v>8</v>
      </c>
      <c r="R21" s="1" t="s">
        <v>7</v>
      </c>
      <c r="S21" s="1" cm="1">
        <f t="array" ref="S21">_xlfn.SWITCH(R21,
"Never",1,
"Occasionally",2,
"Sometimes",3,
"Often",4,
"Always",5)</f>
        <v>2</v>
      </c>
      <c r="T21" s="1">
        <v>4</v>
      </c>
      <c r="U21" s="1">
        <v>4</v>
      </c>
      <c r="V21" s="1" t="s">
        <v>10</v>
      </c>
      <c r="W21" s="1" cm="1">
        <f t="array" ref="W21">_xlfn.SWITCH(V21,
"1 - Not important at all",1,
"2 - Slightly important",2,
"3 - Moderately important",3,
"4 - Important",4,
"5 - Very important",5)</f>
        <v>5</v>
      </c>
      <c r="X21" s="1" t="s">
        <v>10</v>
      </c>
      <c r="Y21" s="1" cm="1">
        <f t="array" ref="Y21">_xlfn.SWITCH(X21,
"1 - Not important at all",1,
"2 - Slightly important",2,
"3 - Moderately important",3,
"4 - Important",4,
"5 - Very important",5)</f>
        <v>5</v>
      </c>
      <c r="Z21" s="1" t="s">
        <v>32</v>
      </c>
      <c r="AA21" s="1" cm="1">
        <f t="array" ref="AA21">_xlfn.SWITCH(Z21,
"1 - Not important at all",1,
"2 - Slightly important",2,
"3 - Moderately important",3,
"4 - Important",4,
"5 - Very important",5)</f>
        <v>1</v>
      </c>
      <c r="AB21" s="1" t="s">
        <v>10</v>
      </c>
      <c r="AC21" s="1" cm="1">
        <f t="array" ref="AC21">_xlfn.SWITCH(AB21,
"1 - Not important at all",1,
"2 - Slightly important",2,
"3 - Moderately important",3,
"4 - Important",4,
"5 - Very important",5)</f>
        <v>5</v>
      </c>
      <c r="AD21" s="1" t="s">
        <v>10</v>
      </c>
      <c r="AE21" s="1" cm="1">
        <f t="array" ref="AE21">_xlfn.SWITCH(AD21,
"1 - Not important at all",1,
"2 - Slightly important",2,
"3 - Moderately important",3,
"4 - Important",4,
"5 - Very important",5)</f>
        <v>5</v>
      </c>
      <c r="AF21" s="1" t="s">
        <v>16</v>
      </c>
    </row>
    <row r="22" spans="1:32">
      <c r="A22">
        <v>21</v>
      </c>
      <c r="B22" s="1" t="s">
        <v>2</v>
      </c>
      <c r="C22" s="1" t="s">
        <v>18</v>
      </c>
      <c r="D22" s="1" t="s">
        <v>4</v>
      </c>
      <c r="E22" s="1" t="s">
        <v>54</v>
      </c>
      <c r="F22" s="1" t="s">
        <v>55</v>
      </c>
      <c r="G22" t="s">
        <v>6</v>
      </c>
      <c r="H22" t="s">
        <v>86</v>
      </c>
      <c r="I22" s="1">
        <f t="shared" si="4"/>
        <v>0</v>
      </c>
      <c r="J22" s="1">
        <f t="shared" si="0"/>
        <v>1</v>
      </c>
      <c r="K22" s="1">
        <f t="shared" si="1"/>
        <v>1</v>
      </c>
      <c r="L22" s="1">
        <f t="shared" si="2"/>
        <v>0</v>
      </c>
      <c r="M22" s="1">
        <f t="shared" si="3"/>
        <v>1</v>
      </c>
      <c r="N22" s="1" t="s">
        <v>55</v>
      </c>
      <c r="O22" s="1" t="s">
        <v>7</v>
      </c>
      <c r="P22" s="1" cm="1">
        <f t="array" ref="P22">_xlfn.SWITCH(O22,
"Never",1,
"Occasionally",2,
"Sometimes",3,
"Often",4,
"Always",5)</f>
        <v>2</v>
      </c>
      <c r="Q22" s="1" t="s">
        <v>8</v>
      </c>
      <c r="R22" s="1" t="s">
        <v>9</v>
      </c>
      <c r="S22" s="1" cm="1">
        <f t="array" ref="S22">_xlfn.SWITCH(R22,
"Never",1,
"Occasionally",2,
"Sometimes",3,
"Often",4,
"Always",5)</f>
        <v>3</v>
      </c>
      <c r="T22" s="1">
        <v>3</v>
      </c>
      <c r="U22" s="1">
        <v>3</v>
      </c>
      <c r="V22" s="1" t="s">
        <v>10</v>
      </c>
      <c r="W22" s="1" cm="1">
        <f t="array" ref="W22">_xlfn.SWITCH(V22,
"1 - Not important at all",1,
"2 - Slightly important",2,
"3 - Moderately important",3,
"4 - Important",4,
"5 - Very important",5)</f>
        <v>5</v>
      </c>
      <c r="X22" s="1" t="s">
        <v>10</v>
      </c>
      <c r="Y22" s="1" cm="1">
        <f t="array" ref="Y22">_xlfn.SWITCH(X22,
"1 - Not important at all",1,
"2 - Slightly important",2,
"3 - Moderately important",3,
"4 - Important",4,
"5 - Very important",5)</f>
        <v>5</v>
      </c>
      <c r="Z22" s="1" t="s">
        <v>10</v>
      </c>
      <c r="AA22" s="1" cm="1">
        <f t="array" ref="AA22">_xlfn.SWITCH(Z22,
"1 - Not important at all",1,
"2 - Slightly important",2,
"3 - Moderately important",3,
"4 - Important",4,
"5 - Very important",5)</f>
        <v>5</v>
      </c>
      <c r="AB22" s="1" t="s">
        <v>10</v>
      </c>
      <c r="AC22" s="1" cm="1">
        <f t="array" ref="AC22">_xlfn.SWITCH(AB22,
"1 - Not important at all",1,
"2 - Slightly important",2,
"3 - Moderately important",3,
"4 - Important",4,
"5 - Very important",5)</f>
        <v>5</v>
      </c>
      <c r="AD22" s="1" t="s">
        <v>10</v>
      </c>
      <c r="AE22" s="1" cm="1">
        <f t="array" ref="AE22">_xlfn.SWITCH(AD22,
"1 - Not important at all",1,
"2 - Slightly important",2,
"3 - Moderately important",3,
"4 - Important",4,
"5 - Very important",5)</f>
        <v>5</v>
      </c>
      <c r="AF22" s="1" t="s">
        <v>16</v>
      </c>
    </row>
    <row r="23" spans="1:32">
      <c r="A23">
        <v>22</v>
      </c>
      <c r="B23" s="1" t="s">
        <v>15</v>
      </c>
      <c r="C23" s="1" t="s">
        <v>18</v>
      </c>
      <c r="D23" s="1" t="s">
        <v>4</v>
      </c>
      <c r="E23" s="1" t="s">
        <v>57</v>
      </c>
      <c r="F23" s="1" t="s">
        <v>6</v>
      </c>
      <c r="G23" t="s">
        <v>30</v>
      </c>
      <c r="H23" t="s">
        <v>86</v>
      </c>
      <c r="I23" s="1">
        <f t="shared" si="4"/>
        <v>0</v>
      </c>
      <c r="J23" s="1">
        <f t="shared" si="0"/>
        <v>0</v>
      </c>
      <c r="K23" s="1">
        <f t="shared" si="1"/>
        <v>1</v>
      </c>
      <c r="L23" s="1">
        <f t="shared" si="2"/>
        <v>1</v>
      </c>
      <c r="M23" s="1">
        <f t="shared" si="3"/>
        <v>1</v>
      </c>
      <c r="N23" s="1" t="s">
        <v>6</v>
      </c>
      <c r="O23" s="1" t="s">
        <v>7</v>
      </c>
      <c r="P23" s="1" cm="1">
        <f t="array" ref="P23">_xlfn.SWITCH(O23,
"Never",1,
"Occasionally",2,
"Sometimes",3,
"Often",4,
"Always",5)</f>
        <v>2</v>
      </c>
      <c r="Q23" s="1" t="s">
        <v>8</v>
      </c>
      <c r="R23" s="1" t="s">
        <v>7</v>
      </c>
      <c r="S23" s="1" cm="1">
        <f t="array" ref="S23">_xlfn.SWITCH(R23,
"Never",1,
"Occasionally",2,
"Sometimes",3,
"Often",4,
"Always",5)</f>
        <v>2</v>
      </c>
      <c r="T23" s="1">
        <v>3</v>
      </c>
      <c r="U23" s="1">
        <v>3</v>
      </c>
      <c r="V23" s="1" t="s">
        <v>10</v>
      </c>
      <c r="W23" s="1" cm="1">
        <f t="array" ref="W23">_xlfn.SWITCH(V23,
"1 - Not important at all",1,
"2 - Slightly important",2,
"3 - Moderately important",3,
"4 - Important",4,
"5 - Very important",5)</f>
        <v>5</v>
      </c>
      <c r="X23" s="1" t="s">
        <v>10</v>
      </c>
      <c r="Y23" s="1" cm="1">
        <f t="array" ref="Y23">_xlfn.SWITCH(X23,
"1 - Not important at all",1,
"2 - Slightly important",2,
"3 - Moderately important",3,
"4 - Important",4,
"5 - Very important",5)</f>
        <v>5</v>
      </c>
      <c r="Z23" s="1" t="s">
        <v>19</v>
      </c>
      <c r="AA23" s="1" cm="1">
        <f t="array" ref="AA23">_xlfn.SWITCH(Z23,
"1 - Not important at all",1,
"2 - Slightly important",2,
"3 - Moderately important",3,
"4 - Important",4,
"5 - Very important",5)</f>
        <v>3</v>
      </c>
      <c r="AB23" s="1" t="s">
        <v>10</v>
      </c>
      <c r="AC23" s="1" cm="1">
        <f t="array" ref="AC23">_xlfn.SWITCH(AB23,
"1 - Not important at all",1,
"2 - Slightly important",2,
"3 - Moderately important",3,
"4 - Important",4,
"5 - Very important",5)</f>
        <v>5</v>
      </c>
      <c r="AD23" s="1" t="s">
        <v>10</v>
      </c>
      <c r="AE23" s="1" cm="1">
        <f t="array" ref="AE23">_xlfn.SWITCH(AD23,
"1 - Not important at all",1,
"2 - Slightly important",2,
"3 - Moderately important",3,
"4 - Important",4,
"5 - Very important",5)</f>
        <v>5</v>
      </c>
      <c r="AF23" s="1" t="s">
        <v>13</v>
      </c>
    </row>
    <row r="24" spans="1:32">
      <c r="A24">
        <v>23</v>
      </c>
      <c r="B24" s="1" t="s">
        <v>15</v>
      </c>
      <c r="C24" s="1" t="s">
        <v>3</v>
      </c>
      <c r="D24" s="1" t="s">
        <v>24</v>
      </c>
      <c r="E24" s="1" t="s">
        <v>34</v>
      </c>
      <c r="F24" s="1" t="s">
        <v>26</v>
      </c>
      <c r="G24" t="s">
        <v>6</v>
      </c>
      <c r="H24" t="s">
        <v>30</v>
      </c>
      <c r="I24" s="1">
        <f t="shared" si="4"/>
        <v>1</v>
      </c>
      <c r="J24" s="1">
        <f t="shared" si="0"/>
        <v>0</v>
      </c>
      <c r="K24" s="1">
        <f t="shared" si="1"/>
        <v>1</v>
      </c>
      <c r="L24" s="1">
        <f t="shared" si="2"/>
        <v>1</v>
      </c>
      <c r="M24" s="1">
        <f t="shared" si="3"/>
        <v>0</v>
      </c>
      <c r="N24" s="1" t="s">
        <v>6</v>
      </c>
      <c r="O24" s="1" t="s">
        <v>22</v>
      </c>
      <c r="P24" s="1" cm="1">
        <f t="array" ref="P24">_xlfn.SWITCH(O24,
"Never",1,
"Occasionally",2,
"Sometimes",3,
"Often",4,
"Always",5)</f>
        <v>1</v>
      </c>
      <c r="Q24" s="1" t="s">
        <v>8</v>
      </c>
      <c r="R24" s="1" t="s">
        <v>7</v>
      </c>
      <c r="S24" s="1" cm="1">
        <f t="array" ref="S24">_xlfn.SWITCH(R24,
"Never",1,
"Occasionally",2,
"Sometimes",3,
"Often",4,
"Always",5)</f>
        <v>2</v>
      </c>
      <c r="T24" s="1">
        <v>4</v>
      </c>
      <c r="U24" s="1">
        <v>4</v>
      </c>
      <c r="V24" s="1" t="s">
        <v>10</v>
      </c>
      <c r="W24" s="1" cm="1">
        <f t="array" ref="W24">_xlfn.SWITCH(V24,
"1 - Not important at all",1,
"2 - Slightly important",2,
"3 - Moderately important",3,
"4 - Important",4,
"5 - Very important",5)</f>
        <v>5</v>
      </c>
      <c r="X24" s="1" t="s">
        <v>12</v>
      </c>
      <c r="Y24" s="1" cm="1">
        <f t="array" ref="Y24">_xlfn.SWITCH(X24,
"1 - Not important at all",1,
"2 - Slightly important",2,
"3 - Moderately important",3,
"4 - Important",4,
"5 - Very important",5)</f>
        <v>4</v>
      </c>
      <c r="Z24" s="1" t="s">
        <v>12</v>
      </c>
      <c r="AA24" s="1" cm="1">
        <f t="array" ref="AA24">_xlfn.SWITCH(Z24,
"1 - Not important at all",1,
"2 - Slightly important",2,
"3 - Moderately important",3,
"4 - Important",4,
"5 - Very important",5)</f>
        <v>4</v>
      </c>
      <c r="AB24" s="1" t="s">
        <v>12</v>
      </c>
      <c r="AC24" s="1" cm="1">
        <f t="array" ref="AC24">_xlfn.SWITCH(AB24,
"1 - Not important at all",1,
"2 - Slightly important",2,
"3 - Moderately important",3,
"4 - Important",4,
"5 - Very important",5)</f>
        <v>4</v>
      </c>
      <c r="AD24" s="1" t="s">
        <v>10</v>
      </c>
      <c r="AE24" s="1" cm="1">
        <f t="array" ref="AE24">_xlfn.SWITCH(AD24,
"1 - Not important at all",1,
"2 - Slightly important",2,
"3 - Moderately important",3,
"4 - Important",4,
"5 - Very important",5)</f>
        <v>5</v>
      </c>
      <c r="AF24" s="1" t="s">
        <v>16</v>
      </c>
    </row>
    <row r="25" spans="1:32">
      <c r="A25">
        <v>24</v>
      </c>
      <c r="B25" s="1" t="s">
        <v>2</v>
      </c>
      <c r="C25" s="1" t="s">
        <v>18</v>
      </c>
      <c r="D25" s="1" t="s">
        <v>4</v>
      </c>
      <c r="E25" s="1" t="s">
        <v>54</v>
      </c>
      <c r="F25" s="1" t="s">
        <v>55</v>
      </c>
      <c r="G25" t="s">
        <v>6</v>
      </c>
      <c r="H25" t="s">
        <v>86</v>
      </c>
      <c r="I25" s="1">
        <f t="shared" si="4"/>
        <v>0</v>
      </c>
      <c r="J25" s="1">
        <f t="shared" si="0"/>
        <v>1</v>
      </c>
      <c r="K25" s="1">
        <f t="shared" si="1"/>
        <v>1</v>
      </c>
      <c r="L25" s="1">
        <f t="shared" si="2"/>
        <v>0</v>
      </c>
      <c r="M25" s="1">
        <f t="shared" si="3"/>
        <v>1</v>
      </c>
      <c r="N25" s="1" t="s">
        <v>6</v>
      </c>
      <c r="O25" s="1" t="s">
        <v>37</v>
      </c>
      <c r="P25" s="1" cm="1">
        <f t="array" ref="P25">_xlfn.SWITCH(O25,
"Never",1,
"Occasionally",2,
"Sometimes",3,
"Often",4,
"Always",5)</f>
        <v>4</v>
      </c>
      <c r="Q25" s="1" t="s">
        <v>8</v>
      </c>
      <c r="R25" s="1" t="s">
        <v>7</v>
      </c>
      <c r="S25" s="1" cm="1">
        <f t="array" ref="S25">_xlfn.SWITCH(R25,
"Never",1,
"Occasionally",2,
"Sometimes",3,
"Often",4,
"Always",5)</f>
        <v>2</v>
      </c>
      <c r="T25" s="1">
        <v>4</v>
      </c>
      <c r="U25" s="1">
        <v>5</v>
      </c>
      <c r="V25" s="1" t="s">
        <v>10</v>
      </c>
      <c r="W25" s="1" cm="1">
        <f t="array" ref="W25">_xlfn.SWITCH(V25,
"1 - Not important at all",1,
"2 - Slightly important",2,
"3 - Moderately important",3,
"4 - Important",4,
"5 - Very important",5)</f>
        <v>5</v>
      </c>
      <c r="X25" s="1" t="s">
        <v>12</v>
      </c>
      <c r="Y25" s="1" cm="1">
        <f t="array" ref="Y25">_xlfn.SWITCH(X25,
"1 - Not important at all",1,
"2 - Slightly important",2,
"3 - Moderately important",3,
"4 - Important",4,
"5 - Very important",5)</f>
        <v>4</v>
      </c>
      <c r="Z25" s="1" t="s">
        <v>10</v>
      </c>
      <c r="AA25" s="1" cm="1">
        <f t="array" ref="AA25">_xlfn.SWITCH(Z25,
"1 - Not important at all",1,
"2 - Slightly important",2,
"3 - Moderately important",3,
"4 - Important",4,
"5 - Very important",5)</f>
        <v>5</v>
      </c>
      <c r="AB25" s="1" t="s">
        <v>12</v>
      </c>
      <c r="AC25" s="1" cm="1">
        <f t="array" ref="AC25">_xlfn.SWITCH(AB25,
"1 - Not important at all",1,
"2 - Slightly important",2,
"3 - Moderately important",3,
"4 - Important",4,
"5 - Very important",5)</f>
        <v>4</v>
      </c>
      <c r="AD25" s="1" t="s">
        <v>12</v>
      </c>
      <c r="AE25" s="1" cm="1">
        <f t="array" ref="AE25">_xlfn.SWITCH(AD25,
"1 - Not important at all",1,
"2 - Slightly important",2,
"3 - Moderately important",3,
"4 - Important",4,
"5 - Very important",5)</f>
        <v>4</v>
      </c>
      <c r="AF25" s="1" t="s">
        <v>16</v>
      </c>
    </row>
    <row r="26" spans="1:32">
      <c r="A26">
        <v>25</v>
      </c>
      <c r="B26" s="1" t="s">
        <v>61</v>
      </c>
      <c r="C26" s="1" t="s">
        <v>3</v>
      </c>
      <c r="D26" s="1" t="s">
        <v>28</v>
      </c>
      <c r="E26" s="1" t="s">
        <v>5</v>
      </c>
      <c r="F26" s="1" t="s">
        <v>26</v>
      </c>
      <c r="G26" t="s">
        <v>55</v>
      </c>
      <c r="H26" t="s">
        <v>6</v>
      </c>
      <c r="I26" s="1">
        <f t="shared" si="4"/>
        <v>1</v>
      </c>
      <c r="J26" s="1">
        <f t="shared" si="0"/>
        <v>1</v>
      </c>
      <c r="K26" s="1">
        <f t="shared" si="1"/>
        <v>1</v>
      </c>
      <c r="L26" s="1">
        <f t="shared" si="2"/>
        <v>0</v>
      </c>
      <c r="M26" s="1">
        <f t="shared" si="3"/>
        <v>0</v>
      </c>
      <c r="N26" s="1" t="s">
        <v>26</v>
      </c>
      <c r="O26" s="1" t="s">
        <v>7</v>
      </c>
      <c r="P26" s="1" cm="1">
        <f t="array" ref="P26">_xlfn.SWITCH(O26,
"Never",1,
"Occasionally",2,
"Sometimes",3,
"Often",4,
"Always",5)</f>
        <v>2</v>
      </c>
      <c r="Q26" s="1" t="s">
        <v>38</v>
      </c>
      <c r="R26" s="1" t="s">
        <v>7</v>
      </c>
      <c r="S26" s="1" cm="1">
        <f t="array" ref="S26">_xlfn.SWITCH(R26,
"Never",1,
"Occasionally",2,
"Sometimes",3,
"Often",4,
"Always",5)</f>
        <v>2</v>
      </c>
      <c r="T26" s="1">
        <v>4</v>
      </c>
      <c r="U26" s="1">
        <v>4</v>
      </c>
      <c r="V26" s="1" t="s">
        <v>12</v>
      </c>
      <c r="W26" s="1" cm="1">
        <f t="array" ref="W26">_xlfn.SWITCH(V26,
"1 - Not important at all",1,
"2 - Slightly important",2,
"3 - Moderately important",3,
"4 - Important",4,
"5 - Very important",5)</f>
        <v>4</v>
      </c>
      <c r="X26" s="1" t="s">
        <v>10</v>
      </c>
      <c r="Y26" s="1" cm="1">
        <f t="array" ref="Y26">_xlfn.SWITCH(X26,
"1 - Not important at all",1,
"2 - Slightly important",2,
"3 - Moderately important",3,
"4 - Important",4,
"5 - Very important",5)</f>
        <v>5</v>
      </c>
      <c r="Z26" s="1" t="s">
        <v>12</v>
      </c>
      <c r="AA26" s="1" cm="1">
        <f t="array" ref="AA26">_xlfn.SWITCH(Z26,
"1 - Not important at all",1,
"2 - Slightly important",2,
"3 - Moderately important",3,
"4 - Important",4,
"5 - Very important",5)</f>
        <v>4</v>
      </c>
      <c r="AB26" s="1" t="s">
        <v>12</v>
      </c>
      <c r="AC26" s="1" cm="1">
        <f t="array" ref="AC26">_xlfn.SWITCH(AB26,
"1 - Not important at all",1,
"2 - Slightly important",2,
"3 - Moderately important",3,
"4 - Important",4,
"5 - Very important",5)</f>
        <v>4</v>
      </c>
      <c r="AD26" s="1" t="s">
        <v>10</v>
      </c>
      <c r="AE26" s="1" cm="1">
        <f t="array" ref="AE26">_xlfn.SWITCH(AD26,
"1 - Not important at all",1,
"2 - Slightly important",2,
"3 - Moderately important",3,
"4 - Important",4,
"5 - Very important",5)</f>
        <v>5</v>
      </c>
      <c r="AF26" s="1" t="s">
        <v>16</v>
      </c>
    </row>
    <row r="27" spans="1:32">
      <c r="A27">
        <v>26</v>
      </c>
      <c r="B27" s="1" t="s">
        <v>15</v>
      </c>
      <c r="C27" s="1" t="s">
        <v>3</v>
      </c>
      <c r="D27" s="1" t="s">
        <v>24</v>
      </c>
      <c r="E27" s="1" t="s">
        <v>21</v>
      </c>
      <c r="F27" s="1" t="s">
        <v>26</v>
      </c>
      <c r="G27" t="s">
        <v>6</v>
      </c>
      <c r="I27" s="1">
        <f t="shared" si="4"/>
        <v>1</v>
      </c>
      <c r="J27" s="1">
        <f t="shared" si="0"/>
        <v>0</v>
      </c>
      <c r="K27" s="1">
        <f t="shared" si="1"/>
        <v>1</v>
      </c>
      <c r="L27" s="1">
        <f t="shared" si="2"/>
        <v>0</v>
      </c>
      <c r="M27" s="1">
        <f t="shared" si="3"/>
        <v>0</v>
      </c>
      <c r="N27" s="1" t="s">
        <v>6</v>
      </c>
      <c r="O27" s="1" t="s">
        <v>7</v>
      </c>
      <c r="P27" s="1" cm="1">
        <f t="array" ref="P27">_xlfn.SWITCH(O27,
"Never",1,
"Occasionally",2,
"Sometimes",3,
"Often",4,
"Always",5)</f>
        <v>2</v>
      </c>
      <c r="Q27" s="1" t="s">
        <v>8</v>
      </c>
      <c r="R27" s="1" t="s">
        <v>9</v>
      </c>
      <c r="S27" s="1" cm="1">
        <f t="array" ref="S27">_xlfn.SWITCH(R27,
"Never",1,
"Occasionally",2,
"Sometimes",3,
"Often",4,
"Always",5)</f>
        <v>3</v>
      </c>
      <c r="T27" s="1">
        <v>4</v>
      </c>
      <c r="U27" s="1">
        <v>4</v>
      </c>
      <c r="V27" s="1" t="s">
        <v>10</v>
      </c>
      <c r="W27" s="1" cm="1">
        <f t="array" ref="W27">_xlfn.SWITCH(V27,
"1 - Not important at all",1,
"2 - Slightly important",2,
"3 - Moderately important",3,
"4 - Important",4,
"5 - Very important",5)</f>
        <v>5</v>
      </c>
      <c r="X27" s="1" t="s">
        <v>12</v>
      </c>
      <c r="Y27" s="1" cm="1">
        <f t="array" ref="Y27">_xlfn.SWITCH(X27,
"1 - Not important at all",1,
"2 - Slightly important",2,
"3 - Moderately important",3,
"4 - Important",4,
"5 - Very important",5)</f>
        <v>4</v>
      </c>
      <c r="Z27" s="1" t="s">
        <v>12</v>
      </c>
      <c r="AA27" s="1" cm="1">
        <f t="array" ref="AA27">_xlfn.SWITCH(Z27,
"1 - Not important at all",1,
"2 - Slightly important",2,
"3 - Moderately important",3,
"4 - Important",4,
"5 - Very important",5)</f>
        <v>4</v>
      </c>
      <c r="AB27" s="1" t="s">
        <v>12</v>
      </c>
      <c r="AC27" s="1" cm="1">
        <f t="array" ref="AC27">_xlfn.SWITCH(AB27,
"1 - Not important at all",1,
"2 - Slightly important",2,
"3 - Moderately important",3,
"4 - Important",4,
"5 - Very important",5)</f>
        <v>4</v>
      </c>
      <c r="AD27" s="1" t="s">
        <v>10</v>
      </c>
      <c r="AE27" s="1" cm="1">
        <f t="array" ref="AE27">_xlfn.SWITCH(AD27,
"1 - Not important at all",1,
"2 - Slightly important",2,
"3 - Moderately important",3,
"4 - Important",4,
"5 - Very important",5)</f>
        <v>5</v>
      </c>
      <c r="AF27" s="1" t="s">
        <v>16</v>
      </c>
    </row>
    <row r="28" spans="1:32">
      <c r="A28">
        <v>27</v>
      </c>
      <c r="B28" s="1" t="s">
        <v>61</v>
      </c>
      <c r="C28" s="1" t="s">
        <v>3</v>
      </c>
      <c r="D28" s="1" t="s">
        <v>64</v>
      </c>
      <c r="E28" s="1" t="s">
        <v>26</v>
      </c>
      <c r="F28" s="1" t="s">
        <v>26</v>
      </c>
      <c r="I28" s="1">
        <f t="shared" si="4"/>
        <v>1</v>
      </c>
      <c r="J28" s="1">
        <f t="shared" si="0"/>
        <v>0</v>
      </c>
      <c r="K28" s="1">
        <f t="shared" si="1"/>
        <v>0</v>
      </c>
      <c r="L28" s="1">
        <f t="shared" si="2"/>
        <v>0</v>
      </c>
      <c r="M28" s="1">
        <f t="shared" si="3"/>
        <v>0</v>
      </c>
      <c r="N28" s="1" t="s">
        <v>26</v>
      </c>
      <c r="O28" s="1" t="s">
        <v>7</v>
      </c>
      <c r="P28" s="1" cm="1">
        <f t="array" ref="P28">_xlfn.SWITCH(O28,
"Never",1,
"Occasionally",2,
"Sometimes",3,
"Often",4,
"Always",5)</f>
        <v>2</v>
      </c>
      <c r="Q28" s="1" t="s">
        <v>38</v>
      </c>
      <c r="R28" s="1" t="s">
        <v>7</v>
      </c>
      <c r="S28" s="1" cm="1">
        <f t="array" ref="S28">_xlfn.SWITCH(R28,
"Never",1,
"Occasionally",2,
"Sometimes",3,
"Often",4,
"Always",5)</f>
        <v>2</v>
      </c>
      <c r="T28" s="1">
        <v>5</v>
      </c>
      <c r="U28" s="1">
        <v>3</v>
      </c>
      <c r="V28" s="1" t="s">
        <v>12</v>
      </c>
      <c r="W28" s="1" cm="1">
        <f t="array" ref="W28">_xlfn.SWITCH(V28,
"1 - Not important at all",1,
"2 - Slightly important",2,
"3 - Moderately important",3,
"4 - Important",4,
"5 - Very important",5)</f>
        <v>4</v>
      </c>
      <c r="X28" s="1" t="s">
        <v>12</v>
      </c>
      <c r="Y28" s="1" cm="1">
        <f t="array" ref="Y28">_xlfn.SWITCH(X28,
"1 - Not important at all",1,
"2 - Slightly important",2,
"3 - Moderately important",3,
"4 - Important",4,
"5 - Very important",5)</f>
        <v>4</v>
      </c>
      <c r="Z28" s="1" t="s">
        <v>12</v>
      </c>
      <c r="AA28" s="1" cm="1">
        <f t="array" ref="AA28">_xlfn.SWITCH(Z28,
"1 - Not important at all",1,
"2 - Slightly important",2,
"3 - Moderately important",3,
"4 - Important",4,
"5 - Very important",5)</f>
        <v>4</v>
      </c>
      <c r="AB28" s="1" t="s">
        <v>10</v>
      </c>
      <c r="AC28" s="1" cm="1">
        <f t="array" ref="AC28">_xlfn.SWITCH(AB28,
"1 - Not important at all",1,
"2 - Slightly important",2,
"3 - Moderately important",3,
"4 - Important",4,
"5 - Very important",5)</f>
        <v>5</v>
      </c>
      <c r="AD28" s="1" t="s">
        <v>10</v>
      </c>
      <c r="AE28" s="1" cm="1">
        <f t="array" ref="AE28">_xlfn.SWITCH(AD28,
"1 - Not important at all",1,
"2 - Slightly important",2,
"3 - Moderately important",3,
"4 - Important",4,
"5 - Very important",5)</f>
        <v>5</v>
      </c>
      <c r="AF28" s="1" t="s">
        <v>47</v>
      </c>
    </row>
    <row r="29" spans="1:32">
      <c r="A29">
        <v>28</v>
      </c>
      <c r="B29" s="1" t="s">
        <v>15</v>
      </c>
      <c r="C29" s="1" t="s">
        <v>3</v>
      </c>
      <c r="D29" s="1" t="s">
        <v>24</v>
      </c>
      <c r="E29" s="1" t="s">
        <v>66</v>
      </c>
      <c r="F29" s="1" t="s">
        <v>55</v>
      </c>
      <c r="G29" t="s">
        <v>30</v>
      </c>
      <c r="H29" t="s">
        <v>86</v>
      </c>
      <c r="I29" s="1">
        <f t="shared" si="4"/>
        <v>0</v>
      </c>
      <c r="J29" s="1">
        <f t="shared" si="0"/>
        <v>1</v>
      </c>
      <c r="K29" s="1">
        <f t="shared" si="1"/>
        <v>0</v>
      </c>
      <c r="L29" s="1">
        <f t="shared" si="2"/>
        <v>1</v>
      </c>
      <c r="M29" s="1">
        <f t="shared" si="3"/>
        <v>1</v>
      </c>
      <c r="N29" s="1" t="s">
        <v>30</v>
      </c>
      <c r="O29" s="1" t="s">
        <v>9</v>
      </c>
      <c r="P29" s="1" cm="1">
        <f t="array" ref="P29">_xlfn.SWITCH(O29,
"Never",1,
"Occasionally",2,
"Sometimes",3,
"Often",4,
"Always",5)</f>
        <v>3</v>
      </c>
      <c r="Q29" s="1" t="s">
        <v>8</v>
      </c>
      <c r="R29" s="1" t="s">
        <v>9</v>
      </c>
      <c r="S29" s="1" cm="1">
        <f t="array" ref="S29">_xlfn.SWITCH(R29,
"Never",1,
"Occasionally",2,
"Sometimes",3,
"Often",4,
"Always",5)</f>
        <v>3</v>
      </c>
      <c r="T29" s="1">
        <v>4</v>
      </c>
      <c r="U29" s="1">
        <v>4</v>
      </c>
      <c r="V29" s="1" t="s">
        <v>10</v>
      </c>
      <c r="W29" s="1" cm="1">
        <f t="array" ref="W29">_xlfn.SWITCH(V29,
"1 - Not important at all",1,
"2 - Slightly important",2,
"3 - Moderately important",3,
"4 - Important",4,
"5 - Very important",5)</f>
        <v>5</v>
      </c>
      <c r="X29" s="1" t="s">
        <v>10</v>
      </c>
      <c r="Y29" s="1" cm="1">
        <f t="array" ref="Y29">_xlfn.SWITCH(X29,
"1 - Not important at all",1,
"2 - Slightly important",2,
"3 - Moderately important",3,
"4 - Important",4,
"5 - Very important",5)</f>
        <v>5</v>
      </c>
      <c r="Z29" s="1" t="s">
        <v>10</v>
      </c>
      <c r="AA29" s="1" cm="1">
        <f t="array" ref="AA29">_xlfn.SWITCH(Z29,
"1 - Not important at all",1,
"2 - Slightly important",2,
"3 - Moderately important",3,
"4 - Important",4,
"5 - Very important",5)</f>
        <v>5</v>
      </c>
      <c r="AB29" s="1" t="s">
        <v>12</v>
      </c>
      <c r="AC29" s="1" cm="1">
        <f t="array" ref="AC29">_xlfn.SWITCH(AB29,
"1 - Not important at all",1,
"2 - Slightly important",2,
"3 - Moderately important",3,
"4 - Important",4,
"5 - Very important",5)</f>
        <v>4</v>
      </c>
      <c r="AD29" s="1" t="s">
        <v>10</v>
      </c>
      <c r="AE29" s="1" cm="1">
        <f t="array" ref="AE29">_xlfn.SWITCH(AD29,
"1 - Not important at all",1,
"2 - Slightly important",2,
"3 - Moderately important",3,
"4 - Important",4,
"5 - Very important",5)</f>
        <v>5</v>
      </c>
      <c r="AF29" s="1" t="s">
        <v>16</v>
      </c>
    </row>
    <row r="30" spans="1:32">
      <c r="A30">
        <v>29</v>
      </c>
      <c r="B30" s="1" t="s">
        <v>15</v>
      </c>
      <c r="C30" s="1" t="s">
        <v>3</v>
      </c>
      <c r="D30" s="1" t="s">
        <v>4</v>
      </c>
      <c r="E30" s="1" t="s">
        <v>21</v>
      </c>
      <c r="F30" s="1" t="s">
        <v>26</v>
      </c>
      <c r="G30" t="s">
        <v>6</v>
      </c>
      <c r="I30" s="1">
        <f t="shared" si="4"/>
        <v>1</v>
      </c>
      <c r="J30" s="1">
        <f t="shared" si="0"/>
        <v>0</v>
      </c>
      <c r="K30" s="1">
        <f t="shared" si="1"/>
        <v>1</v>
      </c>
      <c r="L30" s="1">
        <f t="shared" si="2"/>
        <v>0</v>
      </c>
      <c r="M30" s="1">
        <f t="shared" si="3"/>
        <v>0</v>
      </c>
      <c r="N30" s="1" t="s">
        <v>6</v>
      </c>
      <c r="O30" s="1" t="s">
        <v>7</v>
      </c>
      <c r="P30" s="1" cm="1">
        <f t="array" ref="P30">_xlfn.SWITCH(O30,
"Never",1,
"Occasionally",2,
"Sometimes",3,
"Often",4,
"Always",5)</f>
        <v>2</v>
      </c>
      <c r="Q30" s="1" t="s">
        <v>8</v>
      </c>
      <c r="R30" s="1" t="s">
        <v>37</v>
      </c>
      <c r="S30" s="1" cm="1">
        <f t="array" ref="S30">_xlfn.SWITCH(R30,
"Never",1,
"Occasionally",2,
"Sometimes",3,
"Often",4,
"Always",5)</f>
        <v>4</v>
      </c>
      <c r="T30" s="1">
        <v>3</v>
      </c>
      <c r="U30" s="1">
        <v>3</v>
      </c>
      <c r="V30" s="1" t="s">
        <v>10</v>
      </c>
      <c r="W30" s="1" cm="1">
        <f t="array" ref="W30">_xlfn.SWITCH(V30,
"1 - Not important at all",1,
"2 - Slightly important",2,
"3 - Moderately important",3,
"4 - Important",4,
"5 - Very important",5)</f>
        <v>5</v>
      </c>
      <c r="X30" s="1" t="s">
        <v>10</v>
      </c>
      <c r="Y30" s="1" cm="1">
        <f t="array" ref="Y30">_xlfn.SWITCH(X30,
"1 - Not important at all",1,
"2 - Slightly important",2,
"3 - Moderately important",3,
"4 - Important",4,
"5 - Very important",5)</f>
        <v>5</v>
      </c>
      <c r="Z30" s="1" t="s">
        <v>19</v>
      </c>
      <c r="AA30" s="1" cm="1">
        <f t="array" ref="AA30">_xlfn.SWITCH(Z30,
"1 - Not important at all",1,
"2 - Slightly important",2,
"3 - Moderately important",3,
"4 - Important",4,
"5 - Very important",5)</f>
        <v>3</v>
      </c>
      <c r="AB30" s="1" t="s">
        <v>10</v>
      </c>
      <c r="AC30" s="1" cm="1">
        <f t="array" ref="AC30">_xlfn.SWITCH(AB30,
"1 - Not important at all",1,
"2 - Slightly important",2,
"3 - Moderately important",3,
"4 - Important",4,
"5 - Very important",5)</f>
        <v>5</v>
      </c>
      <c r="AD30" s="1" t="s">
        <v>10</v>
      </c>
      <c r="AE30" s="1" cm="1">
        <f t="array" ref="AE30">_xlfn.SWITCH(AD30,
"1 - Not important at all",1,
"2 - Slightly important",2,
"3 - Moderately important",3,
"4 - Important",4,
"5 - Very important",5)</f>
        <v>5</v>
      </c>
      <c r="AF30" s="1" t="s">
        <v>16</v>
      </c>
    </row>
    <row r="31" spans="1:32">
      <c r="A31">
        <v>30</v>
      </c>
      <c r="B31" s="1" t="s">
        <v>15</v>
      </c>
      <c r="C31" s="1" t="s">
        <v>18</v>
      </c>
      <c r="D31" s="1" t="s">
        <v>24</v>
      </c>
      <c r="E31" s="1" t="s">
        <v>5</v>
      </c>
      <c r="F31" s="1" t="s">
        <v>26</v>
      </c>
      <c r="G31" t="s">
        <v>55</v>
      </c>
      <c r="H31" t="s">
        <v>6</v>
      </c>
      <c r="I31" s="1">
        <f t="shared" si="4"/>
        <v>1</v>
      </c>
      <c r="J31" s="1">
        <f t="shared" si="0"/>
        <v>1</v>
      </c>
      <c r="K31" s="1">
        <f t="shared" si="1"/>
        <v>1</v>
      </c>
      <c r="L31" s="1">
        <f t="shared" si="2"/>
        <v>0</v>
      </c>
      <c r="M31" s="1">
        <f t="shared" si="3"/>
        <v>0</v>
      </c>
      <c r="N31" s="1" t="s">
        <v>6</v>
      </c>
      <c r="O31" s="1" t="s">
        <v>7</v>
      </c>
      <c r="P31" s="1" cm="1">
        <f t="array" ref="P31">_xlfn.SWITCH(O31,
"Never",1,
"Occasionally",2,
"Sometimes",3,
"Often",4,
"Always",5)</f>
        <v>2</v>
      </c>
      <c r="Q31" s="1" t="s">
        <v>8</v>
      </c>
      <c r="R31" s="1" t="s">
        <v>9</v>
      </c>
      <c r="S31" s="1" cm="1">
        <f t="array" ref="S31">_xlfn.SWITCH(R31,
"Never",1,
"Occasionally",2,
"Sometimes",3,
"Often",4,
"Always",5)</f>
        <v>3</v>
      </c>
      <c r="T31" s="1">
        <v>5</v>
      </c>
      <c r="U31" s="1">
        <v>5</v>
      </c>
      <c r="V31" s="1" t="s">
        <v>10</v>
      </c>
      <c r="W31" s="1" cm="1">
        <f t="array" ref="W31">_xlfn.SWITCH(V31,
"1 - Not important at all",1,
"2 - Slightly important",2,
"3 - Moderately important",3,
"4 - Important",4,
"5 - Very important",5)</f>
        <v>5</v>
      </c>
      <c r="X31" s="1" t="s">
        <v>10</v>
      </c>
      <c r="Y31" s="1" cm="1">
        <f t="array" ref="Y31">_xlfn.SWITCH(X31,
"1 - Not important at all",1,
"2 - Slightly important",2,
"3 - Moderately important",3,
"4 - Important",4,
"5 - Very important",5)</f>
        <v>5</v>
      </c>
      <c r="Z31" s="1" t="s">
        <v>10</v>
      </c>
      <c r="AA31" s="1" cm="1">
        <f t="array" ref="AA31">_xlfn.SWITCH(Z31,
"1 - Not important at all",1,
"2 - Slightly important",2,
"3 - Moderately important",3,
"4 - Important",4,
"5 - Very important",5)</f>
        <v>5</v>
      </c>
      <c r="AB31" s="1" t="s">
        <v>10</v>
      </c>
      <c r="AC31" s="1" cm="1">
        <f t="array" ref="AC31">_xlfn.SWITCH(AB31,
"1 - Not important at all",1,
"2 - Slightly important",2,
"3 - Moderately important",3,
"4 - Important",4,
"5 - Very important",5)</f>
        <v>5</v>
      </c>
      <c r="AD31" s="1" t="s">
        <v>10</v>
      </c>
      <c r="AE31" s="1" cm="1">
        <f t="array" ref="AE31">_xlfn.SWITCH(AD31,
"1 - Not important at all",1,
"2 - Slightly important",2,
"3 - Moderately important",3,
"4 - Important",4,
"5 - Very important",5)</f>
        <v>5</v>
      </c>
      <c r="AF31" s="1" t="s">
        <v>13</v>
      </c>
    </row>
    <row r="33" spans="1:8">
      <c r="A33" s="20" t="s">
        <v>130</v>
      </c>
    </row>
    <row r="35" spans="1:8">
      <c r="A35" s="19" t="e" cm="1">
        <f t="array" aca="1" ref="A35" ca="1">_xldudf_BOARDFLARE_EXEC("ai_ask", A33,A1:AF31,"__OMITTED__","__OMITTED__","__OMITTED__","__OMITTED__","__OMITTED__")</f>
        <v>#NAME?</v>
      </c>
      <c r="B35" s="18"/>
      <c r="C35" s="18"/>
      <c r="D35" s="18"/>
      <c r="E35" s="18"/>
      <c r="F35" s="18"/>
      <c r="G35" s="18"/>
      <c r="H35" s="18"/>
    </row>
    <row r="36" spans="1:8" ht="14.4" customHeight="1">
      <c r="A36" s="18"/>
      <c r="B36" s="18"/>
      <c r="C36" s="18"/>
      <c r="D36" s="18"/>
      <c r="E36" s="18"/>
      <c r="F36" s="18"/>
      <c r="G36" s="18"/>
      <c r="H36" s="18"/>
    </row>
    <row r="37" spans="1:8">
      <c r="A37" s="18"/>
      <c r="B37" s="18"/>
      <c r="C37" s="18"/>
      <c r="D37" s="18"/>
      <c r="E37" s="18"/>
      <c r="F37" s="18"/>
      <c r="G37" s="18"/>
      <c r="H37" s="18"/>
    </row>
    <row r="38" spans="1:8">
      <c r="A38" s="18"/>
      <c r="B38" s="18"/>
      <c r="C38" s="18"/>
      <c r="D38" s="18"/>
      <c r="E38" s="18"/>
      <c r="F38" s="18"/>
      <c r="G38" s="18"/>
      <c r="H38" s="18"/>
    </row>
    <row r="39" spans="1:8">
      <c r="A39" s="18"/>
      <c r="B39" s="18"/>
      <c r="C39" s="18"/>
      <c r="D39" s="18"/>
      <c r="E39" s="18"/>
      <c r="F39" s="18"/>
      <c r="G39" s="18"/>
      <c r="H39" s="18"/>
    </row>
    <row r="40" spans="1:8">
      <c r="A40" s="18"/>
      <c r="B40" s="18"/>
      <c r="C40" s="18"/>
      <c r="D40" s="18"/>
      <c r="E40" s="18"/>
      <c r="F40" s="18"/>
      <c r="G40" s="18"/>
      <c r="H40" s="18"/>
    </row>
    <row r="41" spans="1:8">
      <c r="A41" s="18"/>
      <c r="B41" s="18"/>
      <c r="C41" s="18"/>
      <c r="D41" s="18"/>
      <c r="E41" s="18"/>
      <c r="F41" s="18"/>
      <c r="G41" s="18"/>
      <c r="H41" s="18"/>
    </row>
    <row r="42" spans="1:8">
      <c r="A42" s="18"/>
      <c r="B42" s="18"/>
      <c r="C42" s="18"/>
      <c r="D42" s="18"/>
      <c r="E42" s="18"/>
      <c r="F42" s="18"/>
      <c r="G42" s="18"/>
      <c r="H42" s="18"/>
    </row>
    <row r="43" spans="1:8">
      <c r="A43" s="18"/>
      <c r="B43" s="18"/>
      <c r="C43" s="18"/>
      <c r="D43" s="18"/>
      <c r="E43" s="18"/>
      <c r="F43" s="18"/>
      <c r="G43" s="18"/>
      <c r="H43" s="18"/>
    </row>
    <row r="44" spans="1:8">
      <c r="A44" s="18"/>
      <c r="B44" s="18"/>
      <c r="C44" s="18"/>
      <c r="D44" s="18"/>
      <c r="E44" s="18"/>
      <c r="F44" s="18"/>
      <c r="G44" s="18"/>
      <c r="H44" s="18"/>
    </row>
    <row r="45" spans="1:8">
      <c r="A45" s="18"/>
      <c r="B45" s="18"/>
      <c r="C45" s="18"/>
      <c r="D45" s="18"/>
      <c r="E45" s="18"/>
      <c r="F45" s="18"/>
      <c r="G45" s="18"/>
      <c r="H45" s="18"/>
    </row>
    <row r="46" spans="1:8">
      <c r="A46" s="18"/>
      <c r="B46" s="18"/>
      <c r="C46" s="18"/>
      <c r="D46" s="18"/>
      <c r="E46" s="18"/>
      <c r="F46" s="18"/>
      <c r="G46" s="18"/>
      <c r="H46" s="18"/>
    </row>
    <row r="47" spans="1:8">
      <c r="A47" s="18"/>
      <c r="B47" s="18"/>
      <c r="C47" s="18"/>
      <c r="D47" s="18"/>
      <c r="E47" s="18"/>
      <c r="F47" s="18"/>
      <c r="G47" s="18"/>
      <c r="H47" s="18"/>
    </row>
    <row r="48" spans="1:8">
      <c r="A48" s="18"/>
      <c r="B48" s="18"/>
      <c r="C48" s="18"/>
      <c r="D48" s="18"/>
      <c r="E48" s="18"/>
      <c r="F48" s="18"/>
      <c r="G48" s="18"/>
      <c r="H48" s="18"/>
    </row>
    <row r="49" spans="1:8">
      <c r="A49" s="18"/>
      <c r="B49" s="18"/>
      <c r="C49" s="18"/>
      <c r="D49" s="18"/>
      <c r="E49" s="18"/>
      <c r="F49" s="18"/>
      <c r="G49" s="18"/>
      <c r="H49" s="18"/>
    </row>
    <row r="50" spans="1:8">
      <c r="A50" s="18"/>
      <c r="B50" s="18"/>
      <c r="C50" s="18"/>
      <c r="D50" s="18"/>
      <c r="E50" s="18"/>
      <c r="F50" s="18"/>
      <c r="G50" s="18"/>
      <c r="H50" s="18"/>
    </row>
    <row r="51" spans="1:8">
      <c r="A51" s="18"/>
      <c r="B51" s="18"/>
      <c r="C51" s="18"/>
      <c r="D51" s="18"/>
      <c r="E51" s="18"/>
      <c r="F51" s="18"/>
      <c r="G51" s="18"/>
      <c r="H51" s="18"/>
    </row>
    <row r="52" spans="1:8">
      <c r="A52" s="18"/>
      <c r="B52" s="18"/>
      <c r="C52" s="18"/>
      <c r="D52" s="18"/>
      <c r="E52" s="18"/>
      <c r="F52" s="18"/>
      <c r="G52" s="18"/>
      <c r="H52" s="18"/>
    </row>
    <row r="53" spans="1:8">
      <c r="A53" s="18"/>
      <c r="B53" s="18"/>
      <c r="C53" s="18"/>
      <c r="D53" s="18"/>
      <c r="E53" s="18"/>
      <c r="F53" s="18"/>
      <c r="G53" s="18"/>
      <c r="H53" s="18"/>
    </row>
    <row r="54" spans="1:8">
      <c r="A54" s="18"/>
      <c r="B54" s="18"/>
      <c r="C54" s="18"/>
      <c r="D54" s="18"/>
      <c r="E54" s="18"/>
      <c r="F54" s="18"/>
      <c r="G54" s="18"/>
      <c r="H54" s="18"/>
    </row>
    <row r="55" spans="1:8">
      <c r="A55" s="18"/>
      <c r="B55" s="18"/>
      <c r="C55" s="18"/>
      <c r="D55" s="18"/>
      <c r="E55" s="18"/>
      <c r="F55" s="18"/>
      <c r="G55" s="18"/>
      <c r="H55" s="18"/>
    </row>
    <row r="56" spans="1:8">
      <c r="A56" s="18"/>
      <c r="B56" s="18"/>
      <c r="C56" s="18"/>
      <c r="D56" s="18"/>
      <c r="E56" s="18"/>
      <c r="F56" s="18"/>
      <c r="G56" s="18"/>
      <c r="H56" s="18"/>
    </row>
    <row r="57" spans="1:8">
      <c r="A57" s="18"/>
      <c r="B57" s="18"/>
      <c r="C57" s="18"/>
      <c r="D57" s="18"/>
      <c r="E57" s="18"/>
      <c r="F57" s="18"/>
      <c r="G57" s="18"/>
      <c r="H57" s="18"/>
    </row>
    <row r="58" spans="1:8">
      <c r="A58" s="18"/>
      <c r="B58" s="18"/>
      <c r="C58" s="18"/>
      <c r="D58" s="18"/>
      <c r="E58" s="18"/>
      <c r="F58" s="18"/>
      <c r="G58" s="18"/>
      <c r="H58" s="18"/>
    </row>
    <row r="59" spans="1:8">
      <c r="A59" s="18"/>
      <c r="B59" s="18"/>
      <c r="C59" s="18"/>
      <c r="D59" s="18"/>
      <c r="E59" s="18"/>
      <c r="F59" s="18"/>
      <c r="G59" s="18"/>
      <c r="H59" s="18"/>
    </row>
    <row r="60" spans="1:8">
      <c r="A60" s="18"/>
      <c r="B60" s="18"/>
      <c r="C60" s="18"/>
      <c r="D60" s="18"/>
      <c r="E60" s="18"/>
      <c r="F60" s="18"/>
      <c r="G60" s="18"/>
      <c r="H60" s="18"/>
    </row>
    <row r="61" spans="1:8">
      <c r="A61" s="18"/>
      <c r="B61" s="18"/>
      <c r="C61" s="18"/>
      <c r="D61" s="18"/>
      <c r="E61" s="18"/>
      <c r="F61" s="18"/>
      <c r="G61" s="18"/>
      <c r="H61" s="18"/>
    </row>
    <row r="62" spans="1:8">
      <c r="A62" s="18"/>
      <c r="B62" s="18"/>
      <c r="C62" s="18"/>
      <c r="D62" s="18"/>
      <c r="E62" s="18"/>
      <c r="F62" s="18"/>
      <c r="G62" s="18"/>
      <c r="H62" s="18"/>
    </row>
    <row r="63" spans="1:8">
      <c r="A63" s="18"/>
      <c r="B63" s="18"/>
      <c r="C63" s="18"/>
      <c r="D63" s="18"/>
      <c r="E63" s="18"/>
      <c r="F63" s="18"/>
      <c r="G63" s="18"/>
      <c r="H63" s="18"/>
    </row>
    <row r="64" spans="1:8">
      <c r="A64" s="18"/>
      <c r="B64" s="18"/>
      <c r="C64" s="18"/>
      <c r="D64" s="18"/>
      <c r="E64" s="18"/>
      <c r="F64" s="18"/>
      <c r="G64" s="18"/>
      <c r="H64" s="18"/>
    </row>
    <row r="65" spans="1:8">
      <c r="A65" s="18"/>
      <c r="B65" s="18"/>
      <c r="C65" s="18"/>
      <c r="D65" s="18"/>
      <c r="E65" s="18"/>
      <c r="F65" s="18"/>
      <c r="G65" s="18"/>
      <c r="H65" s="18"/>
    </row>
    <row r="66" spans="1:8">
      <c r="A66" s="18"/>
      <c r="B66" s="18"/>
      <c r="C66" s="18"/>
      <c r="D66" s="18"/>
      <c r="E66" s="18"/>
      <c r="F66" s="18"/>
      <c r="G66" s="18"/>
      <c r="H66" s="18"/>
    </row>
    <row r="67" spans="1:8">
      <c r="A67" s="18"/>
      <c r="B67" s="18"/>
      <c r="C67" s="18"/>
      <c r="D67" s="18"/>
      <c r="E67" s="18"/>
      <c r="F67" s="18"/>
      <c r="G67" s="18"/>
      <c r="H67" s="18"/>
    </row>
    <row r="68" spans="1:8">
      <c r="A68" s="18"/>
      <c r="B68" s="18"/>
      <c r="C68" s="18"/>
      <c r="D68" s="18"/>
      <c r="E68" s="18"/>
      <c r="F68" s="18"/>
      <c r="G68" s="18"/>
      <c r="H68" s="18"/>
    </row>
    <row r="69" spans="1:8">
      <c r="A69" s="18"/>
      <c r="B69" s="18"/>
      <c r="C69" s="18"/>
      <c r="D69" s="18"/>
      <c r="E69" s="18"/>
      <c r="F69" s="18"/>
      <c r="G69" s="18"/>
      <c r="H69" s="18"/>
    </row>
    <row r="70" spans="1:8">
      <c r="A70" s="18"/>
      <c r="B70" s="18"/>
      <c r="C70" s="18"/>
      <c r="D70" s="18"/>
      <c r="E70" s="18"/>
      <c r="F70" s="18"/>
      <c r="G70" s="18"/>
      <c r="H70" s="18"/>
    </row>
    <row r="71" spans="1:8">
      <c r="A71" s="18"/>
      <c r="B71" s="18"/>
      <c r="C71" s="18"/>
      <c r="D71" s="18"/>
      <c r="E71" s="18"/>
      <c r="F71" s="18"/>
      <c r="G71" s="18"/>
      <c r="H71" s="18"/>
    </row>
    <row r="72" spans="1:8">
      <c r="A72" s="18"/>
      <c r="B72" s="18"/>
      <c r="C72" s="18"/>
      <c r="D72" s="18"/>
      <c r="E72" s="18"/>
      <c r="F72" s="18"/>
      <c r="G72" s="18"/>
      <c r="H72" s="18"/>
    </row>
    <row r="73" spans="1:8">
      <c r="A73" s="18"/>
      <c r="B73" s="18"/>
      <c r="C73" s="18"/>
      <c r="D73" s="18"/>
      <c r="E73" s="18"/>
      <c r="F73" s="18"/>
      <c r="G73" s="18"/>
      <c r="H73" s="18"/>
    </row>
    <row r="74" spans="1:8">
      <c r="A74" s="18"/>
      <c r="B74" s="18"/>
      <c r="C74" s="18"/>
      <c r="D74" s="18"/>
      <c r="E74" s="18"/>
      <c r="F74" s="18"/>
      <c r="G74" s="18"/>
      <c r="H74" s="18"/>
    </row>
    <row r="75" spans="1:8">
      <c r="A75" s="18"/>
      <c r="B75" s="18"/>
      <c r="C75" s="18"/>
      <c r="D75" s="18"/>
      <c r="E75" s="18"/>
      <c r="F75" s="18"/>
      <c r="G75" s="18"/>
      <c r="H75" s="18"/>
    </row>
    <row r="76" spans="1:8">
      <c r="A76" s="18"/>
      <c r="B76" s="18"/>
      <c r="C76" s="18"/>
      <c r="D76" s="18"/>
      <c r="E76" s="18"/>
      <c r="F76" s="18"/>
      <c r="G76" s="18"/>
      <c r="H76" s="18"/>
    </row>
    <row r="77" spans="1:8">
      <c r="A77" s="18"/>
      <c r="B77" s="18"/>
      <c r="C77" s="18"/>
      <c r="D77" s="18"/>
      <c r="E77" s="18"/>
      <c r="F77" s="18"/>
      <c r="G77" s="18"/>
      <c r="H77" s="18"/>
    </row>
    <row r="78" spans="1:8">
      <c r="A78" s="18"/>
      <c r="B78" s="18"/>
      <c r="C78" s="18"/>
      <c r="D78" s="18"/>
      <c r="E78" s="18"/>
      <c r="F78" s="18"/>
      <c r="G78" s="18"/>
      <c r="H78" s="18"/>
    </row>
    <row r="79" spans="1:8">
      <c r="A79" s="18"/>
      <c r="B79" s="18"/>
      <c r="C79" s="18"/>
      <c r="D79" s="18"/>
      <c r="E79" s="18"/>
      <c r="F79" s="18"/>
      <c r="G79" s="18"/>
      <c r="H79" s="18"/>
    </row>
    <row r="80" spans="1:8">
      <c r="A80" s="18"/>
      <c r="B80" s="18"/>
      <c r="C80" s="18"/>
      <c r="D80" s="18"/>
      <c r="E80" s="18"/>
      <c r="F80" s="18"/>
      <c r="G80" s="18"/>
      <c r="H80" s="18"/>
    </row>
    <row r="81" spans="1:8">
      <c r="A81" s="18"/>
      <c r="B81" s="18"/>
      <c r="C81" s="18"/>
      <c r="D81" s="18"/>
      <c r="E81" s="18"/>
      <c r="F81" s="18"/>
      <c r="G81" s="18"/>
      <c r="H81" s="18"/>
    </row>
    <row r="82" spans="1:8">
      <c r="A82" s="18"/>
      <c r="B82" s="18"/>
      <c r="C82" s="18"/>
      <c r="D82" s="18"/>
      <c r="E82" s="18"/>
      <c r="F82" s="18"/>
      <c r="G82" s="18"/>
      <c r="H82" s="18"/>
    </row>
    <row r="83" spans="1:8">
      <c r="A83" s="18"/>
      <c r="B83" s="18"/>
      <c r="C83" s="18"/>
      <c r="D83" s="18"/>
      <c r="E83" s="18"/>
      <c r="F83" s="18"/>
      <c r="G83" s="18"/>
      <c r="H83" s="18"/>
    </row>
    <row r="84" spans="1:8">
      <c r="A84" s="18"/>
      <c r="B84" s="18"/>
      <c r="C84" s="18"/>
      <c r="D84" s="18"/>
      <c r="E84" s="18"/>
      <c r="F84" s="18"/>
      <c r="G84" s="18"/>
      <c r="H84" s="18"/>
    </row>
    <row r="85" spans="1:8">
      <c r="A85" s="18"/>
      <c r="B85" s="18"/>
      <c r="C85" s="18"/>
      <c r="D85" s="18"/>
      <c r="E85" s="18"/>
      <c r="F85" s="18"/>
      <c r="G85" s="18"/>
      <c r="H85" s="18"/>
    </row>
    <row r="86" spans="1:8">
      <c r="A86" s="18"/>
      <c r="B86" s="18"/>
      <c r="C86" s="18"/>
      <c r="D86" s="18"/>
      <c r="E86" s="18"/>
      <c r="F86" s="18"/>
      <c r="G86" s="18"/>
      <c r="H86" s="18"/>
    </row>
    <row r="87" spans="1:8">
      <c r="A87" s="18"/>
      <c r="B87" s="18"/>
      <c r="C87" s="18"/>
      <c r="D87" s="18"/>
      <c r="E87" s="18"/>
      <c r="F87" s="18"/>
      <c r="G87" s="18"/>
      <c r="H87" s="18"/>
    </row>
    <row r="88" spans="1:8">
      <c r="A88" s="18"/>
      <c r="B88" s="18"/>
      <c r="C88" s="18"/>
      <c r="D88" s="18"/>
      <c r="E88" s="18"/>
      <c r="F88" s="18"/>
      <c r="G88" s="18"/>
      <c r="H88" s="18"/>
    </row>
    <row r="89" spans="1:8">
      <c r="A89" s="18"/>
      <c r="B89" s="18"/>
      <c r="C89" s="18"/>
      <c r="D89" s="18"/>
      <c r="E89" s="18"/>
      <c r="F89" s="18"/>
      <c r="G89" s="18"/>
      <c r="H89" s="18"/>
    </row>
    <row r="90" spans="1:8">
      <c r="A90" s="18"/>
      <c r="B90" s="18"/>
      <c r="C90" s="18"/>
      <c r="D90" s="18"/>
      <c r="E90" s="18"/>
      <c r="F90" s="18"/>
      <c r="G90" s="18"/>
      <c r="H90" s="18"/>
    </row>
    <row r="91" spans="1:8">
      <c r="A91" s="18"/>
      <c r="B91" s="18"/>
      <c r="C91" s="18"/>
      <c r="D91" s="18"/>
      <c r="E91" s="18"/>
      <c r="F91" s="18"/>
      <c r="G91" s="18"/>
      <c r="H91" s="18"/>
    </row>
    <row r="92" spans="1:8">
      <c r="A92" s="18"/>
      <c r="B92" s="18"/>
      <c r="C92" s="18"/>
      <c r="D92" s="18"/>
      <c r="E92" s="18"/>
      <c r="F92" s="18"/>
      <c r="G92" s="18"/>
      <c r="H92" s="18"/>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06747-5D75-48ED-80DE-F93F37BBEB2D}">
  <sheetPr codeName="Sheet3"/>
  <dimension ref="A2:AC101"/>
  <sheetViews>
    <sheetView zoomScale="55" workbookViewId="0">
      <selection activeCell="B53" sqref="B53"/>
    </sheetView>
  </sheetViews>
  <sheetFormatPr defaultRowHeight="13.8"/>
  <cols>
    <col min="1" max="1" width="21.44140625" style="9" customWidth="1"/>
    <col min="2" max="2" width="29" style="10" customWidth="1"/>
    <col min="3" max="3" width="11.109375" style="10" customWidth="1"/>
    <col min="4" max="4" width="11.5546875" style="10" customWidth="1"/>
    <col min="5" max="5" width="26.88671875" style="10" customWidth="1"/>
    <col min="6" max="6" width="30" style="10" customWidth="1"/>
    <col min="7" max="7" width="21.44140625" style="10" bestFit="1" customWidth="1"/>
    <col min="8" max="8" width="16" style="10" bestFit="1" customWidth="1"/>
    <col min="9" max="9" width="13.88671875" style="10" customWidth="1"/>
    <col min="10" max="10" width="16.21875" style="10" customWidth="1"/>
    <col min="11" max="11" width="16.6640625" style="10" customWidth="1"/>
    <col min="12" max="12" width="13.109375" style="10" customWidth="1"/>
    <col min="13" max="13" width="18.44140625" style="10" bestFit="1" customWidth="1"/>
    <col min="14" max="14" width="22.33203125" style="10" bestFit="1" customWidth="1"/>
    <col min="15" max="15" width="14.88671875" style="10" bestFit="1" customWidth="1"/>
    <col min="16" max="25" width="8.88671875" style="10"/>
    <col min="26" max="26" width="12.6640625" style="10" bestFit="1" customWidth="1"/>
    <col min="27" max="27" width="15.5546875" style="10" bestFit="1" customWidth="1"/>
    <col min="28" max="28" width="10.77734375" style="10" bestFit="1" customWidth="1"/>
    <col min="29" max="29" width="14.88671875" style="10" bestFit="1" customWidth="1"/>
    <col min="30" max="16384" width="8.88671875" style="10"/>
  </cols>
  <sheetData>
    <row r="2" spans="2:29" ht="17.399999999999999">
      <c r="B2" s="29" t="s">
        <v>94</v>
      </c>
      <c r="C2" s="21"/>
      <c r="E2" s="30" t="s">
        <v>103</v>
      </c>
      <c r="F2" s="30"/>
      <c r="G2" s="30"/>
      <c r="H2" s="30"/>
      <c r="I2" s="30"/>
      <c r="J2" s="30"/>
      <c r="K2" s="30"/>
      <c r="L2" s="30"/>
      <c r="M2" s="30"/>
      <c r="N2" s="30"/>
      <c r="O2" s="30"/>
      <c r="P2" s="30"/>
      <c r="Q2" s="30"/>
      <c r="R2" s="30"/>
      <c r="S2" s="30"/>
      <c r="T2" s="30"/>
      <c r="U2" s="30"/>
      <c r="V2" s="30"/>
      <c r="W2" s="30"/>
      <c r="X2" s="30"/>
    </row>
    <row r="3" spans="2:29">
      <c r="B3" s="22"/>
    </row>
    <row r="4" spans="2:29" ht="14.4" customHeight="1">
      <c r="B4" s="25" t="s">
        <v>93</v>
      </c>
      <c r="E4" s="31" t="s">
        <v>104</v>
      </c>
      <c r="F4" s="31"/>
      <c r="G4" s="31"/>
    </row>
    <row r="5" spans="2:29" ht="14.4">
      <c r="B5" s="23">
        <f>COUNTIF('Data Layer'!Q:Q,"Yes")/COUNTA('Data Layer'!Q:Q)</f>
        <v>0.83870967741935487</v>
      </c>
      <c r="C5" s="11"/>
      <c r="E5" s="9" t="s">
        <v>98</v>
      </c>
      <c r="F5" s="9" t="s">
        <v>99</v>
      </c>
      <c r="G5" s="9" t="s">
        <v>100</v>
      </c>
      <c r="I5" s="10" t="s">
        <v>120</v>
      </c>
      <c r="J5" s="10" t="s">
        <v>121</v>
      </c>
      <c r="K5" s="10" t="s">
        <v>111</v>
      </c>
      <c r="M5" s="3" t="s">
        <v>119</v>
      </c>
      <c r="N5" s="3" t="s">
        <v>115</v>
      </c>
      <c r="O5"/>
      <c r="Z5"/>
      <c r="AA5"/>
      <c r="AB5"/>
    </row>
    <row r="6" spans="2:29" ht="14.4">
      <c r="B6" s="22"/>
      <c r="C6" s="12"/>
      <c r="E6" s="10" t="s">
        <v>26</v>
      </c>
      <c r="F6" s="9">
        <f>COUNTIF('Data Layer'!I:I, "1")</f>
        <v>25</v>
      </c>
      <c r="G6" s="9">
        <f>COUNTIF('Data Layer'!N:N, "Facebook")</f>
        <v>5</v>
      </c>
      <c r="I6" s="10" t="s">
        <v>26</v>
      </c>
      <c r="J6" s="10" t="s">
        <v>123</v>
      </c>
      <c r="K6" s="10">
        <f>COUNTIF('Data Layer'!I:I, "1")</f>
        <v>25</v>
      </c>
      <c r="M6" s="3" t="s">
        <v>114</v>
      </c>
      <c r="N6" t="s">
        <v>123</v>
      </c>
      <c r="O6" t="s">
        <v>106</v>
      </c>
      <c r="Z6"/>
      <c r="AA6"/>
      <c r="AB6"/>
    </row>
    <row r="7" spans="2:29" ht="14.4">
      <c r="B7" s="25" t="s">
        <v>95</v>
      </c>
      <c r="E7" s="10" t="s">
        <v>55</v>
      </c>
      <c r="F7" s="9">
        <f>COUNTIF('Data Layer'!J:J, "1")</f>
        <v>15</v>
      </c>
      <c r="G7" s="9">
        <f>COUNTIF('Data Layer'!N:N, "Instagram")</f>
        <v>1</v>
      </c>
      <c r="I7" s="10" t="s">
        <v>26</v>
      </c>
      <c r="J7" s="10" t="s">
        <v>122</v>
      </c>
      <c r="K7" s="10">
        <f>COUNTIF('Data Layer'!N:N, "Facebook")</f>
        <v>5</v>
      </c>
      <c r="M7" s="4" t="s">
        <v>26</v>
      </c>
      <c r="N7">
        <v>25</v>
      </c>
      <c r="O7">
        <v>25</v>
      </c>
      <c r="Z7"/>
      <c r="AA7"/>
      <c r="AB7"/>
    </row>
    <row r="8" spans="2:29" ht="14.4">
      <c r="B8" s="23">
        <f>(COUNTIF('Data Layer'!R:R,"Always")+COUNTIF('Data Layer'!R:R,"Often"))/COUNTA('Data Layer'!R:R)</f>
        <v>9.6774193548387094E-2</v>
      </c>
      <c r="C8" s="11"/>
      <c r="E8" s="10" t="s">
        <v>6</v>
      </c>
      <c r="F8" s="9">
        <f>COUNTIF('Data Layer'!K:K, "1")</f>
        <v>27</v>
      </c>
      <c r="G8" s="9">
        <f>COUNTIF('Data Layer'!N:N, "TikTok")</f>
        <v>19</v>
      </c>
      <c r="I8" s="10" t="s">
        <v>55</v>
      </c>
      <c r="J8" s="10" t="s">
        <v>123</v>
      </c>
      <c r="K8" s="10">
        <f>COUNTIF('Data Layer'!J:J, "1")</f>
        <v>15</v>
      </c>
      <c r="M8" s="4" t="s">
        <v>55</v>
      </c>
      <c r="N8">
        <v>15</v>
      </c>
      <c r="O8">
        <v>15</v>
      </c>
      <c r="Z8"/>
      <c r="AA8"/>
      <c r="AB8"/>
    </row>
    <row r="9" spans="2:29" ht="14.4">
      <c r="B9" s="22"/>
      <c r="E9" s="10" t="s">
        <v>30</v>
      </c>
      <c r="F9" s="9">
        <f>COUNTIF('Data Layer'!L:L, "1")</f>
        <v>8</v>
      </c>
      <c r="G9" s="9">
        <f>COUNTIF('Data Layer'!N:N, "YouTube")</f>
        <v>5</v>
      </c>
      <c r="I9" s="10" t="s">
        <v>55</v>
      </c>
      <c r="J9" s="10" t="s">
        <v>122</v>
      </c>
      <c r="K9" s="10">
        <f>COUNTIF('Data Layer'!N:N, "Instagram")</f>
        <v>1</v>
      </c>
      <c r="M9" s="4" t="s">
        <v>6</v>
      </c>
      <c r="N9">
        <v>27</v>
      </c>
      <c r="O9">
        <v>27</v>
      </c>
      <c r="Z9"/>
      <c r="AA9"/>
      <c r="AB9"/>
    </row>
    <row r="10" spans="2:29" ht="14.4">
      <c r="B10" s="25" t="s">
        <v>96</v>
      </c>
      <c r="E10" s="10" t="s">
        <v>86</v>
      </c>
      <c r="F10" s="9">
        <f>COUNTIF('Data Layer'!M:M, "1")</f>
        <v>6</v>
      </c>
      <c r="G10" s="9">
        <f>COUNTIF('Data Layer'!N:N, "X (Twitter)")</f>
        <v>0</v>
      </c>
      <c r="I10" s="10" t="s">
        <v>6</v>
      </c>
      <c r="J10" s="10" t="s">
        <v>123</v>
      </c>
      <c r="K10" s="10">
        <f>COUNTIF('Data Layer'!K:K, "1")</f>
        <v>27</v>
      </c>
      <c r="M10" s="4" t="s">
        <v>86</v>
      </c>
      <c r="N10">
        <v>6</v>
      </c>
      <c r="O10">
        <v>6</v>
      </c>
      <c r="Z10"/>
      <c r="AA10"/>
      <c r="AB10"/>
    </row>
    <row r="11" spans="2:29" ht="14.4">
      <c r="B11" s="24">
        <f>AVERAGE('Data Layer'!T:T)</f>
        <v>3.5666666666666669</v>
      </c>
      <c r="C11" s="13"/>
      <c r="I11" s="10" t="s">
        <v>6</v>
      </c>
      <c r="J11" s="10" t="s">
        <v>122</v>
      </c>
      <c r="K11" s="10">
        <f>COUNTIF('Data Layer'!N:N, "TikTok")</f>
        <v>19</v>
      </c>
      <c r="M11" s="4" t="s">
        <v>30</v>
      </c>
      <c r="N11">
        <v>8</v>
      </c>
      <c r="O11">
        <v>8</v>
      </c>
      <c r="Z11"/>
      <c r="AA11"/>
      <c r="AB11"/>
    </row>
    <row r="12" spans="2:29" ht="14.4">
      <c r="B12" s="22"/>
      <c r="I12" s="10" t="s">
        <v>30</v>
      </c>
      <c r="J12" s="10" t="s">
        <v>123</v>
      </c>
      <c r="K12" s="10">
        <f>COUNTIF('Data Layer'!L:L, "1")</f>
        <v>8</v>
      </c>
      <c r="M12" s="4" t="s">
        <v>106</v>
      </c>
      <c r="N12">
        <v>81</v>
      </c>
      <c r="O12">
        <v>81</v>
      </c>
      <c r="Z12"/>
      <c r="AA12"/>
      <c r="AB12"/>
    </row>
    <row r="13" spans="2:29" ht="14.4">
      <c r="B13" s="25" t="s">
        <v>101</v>
      </c>
      <c r="E13" s="32" t="s">
        <v>108</v>
      </c>
      <c r="F13" s="32"/>
      <c r="I13" s="10" t="s">
        <v>30</v>
      </c>
      <c r="J13" s="10" t="s">
        <v>122</v>
      </c>
      <c r="K13" s="10">
        <f>COUNTIF('Data Layer'!N:N, "YouTube")</f>
        <v>5</v>
      </c>
      <c r="Z13"/>
      <c r="AA13"/>
      <c r="AB13"/>
    </row>
    <row r="14" spans="2:29" ht="14.4">
      <c r="B14" s="24">
        <f>AVERAGE('Data Layer'!U:U)</f>
        <v>3.5333333333333332</v>
      </c>
      <c r="C14" s="13"/>
      <c r="E14" s="9" t="s">
        <v>109</v>
      </c>
      <c r="F14" s="9" t="s">
        <v>110</v>
      </c>
      <c r="I14" s="10" t="s">
        <v>86</v>
      </c>
      <c r="J14" s="10" t="s">
        <v>123</v>
      </c>
      <c r="K14" s="10">
        <f>COUNTIF('Data Layer'!M:M, "1")</f>
        <v>6</v>
      </c>
      <c r="AC14"/>
    </row>
    <row r="15" spans="2:29" ht="14.4">
      <c r="B15" s="22"/>
      <c r="E15" s="10" t="s">
        <v>88</v>
      </c>
      <c r="F15" s="16">
        <f>AVERAGE('Data Layer'!W:W)</f>
        <v>4.8</v>
      </c>
      <c r="I15" s="10" t="s">
        <v>86</v>
      </c>
      <c r="J15" s="10" t="s">
        <v>122</v>
      </c>
      <c r="K15" s="10">
        <f>COUNTIF('Data Layer'!N:N, "X (Twitter)")</f>
        <v>0</v>
      </c>
      <c r="AC15"/>
    </row>
    <row r="16" spans="2:29" ht="14.4">
      <c r="B16" s="25" t="s">
        <v>97</v>
      </c>
      <c r="E16" s="10" t="s">
        <v>89</v>
      </c>
      <c r="F16" s="16">
        <f>AVERAGE('Data Layer'!Y:Y)</f>
        <v>4.4333333333333336</v>
      </c>
      <c r="AC16"/>
    </row>
    <row r="17" spans="2:29" ht="14.4">
      <c r="B17" s="24">
        <f>AVERAGE('Data Layer'!P:P)</f>
        <v>2.3666666666666667</v>
      </c>
      <c r="C17" s="13"/>
      <c r="E17" s="10" t="s">
        <v>90</v>
      </c>
      <c r="F17" s="16">
        <f>AVERAGE('Data Layer'!AA:AA)</f>
        <v>3.4</v>
      </c>
      <c r="AC17"/>
    </row>
    <row r="18" spans="2:29" ht="14.4">
      <c r="E18" s="10" t="s">
        <v>91</v>
      </c>
      <c r="F18" s="16">
        <f>AVERAGE('Data Layer'!AC:AC)</f>
        <v>4.5333333333333332</v>
      </c>
      <c r="H18" s="26" t="s">
        <v>105</v>
      </c>
      <c r="I18" s="26"/>
      <c r="AC18"/>
    </row>
    <row r="19" spans="2:29" ht="14.4">
      <c r="E19" s="10" t="s">
        <v>92</v>
      </c>
      <c r="F19" s="16">
        <f>AVERAGE('Data Layer'!AE:AE)</f>
        <v>4.666666666666667</v>
      </c>
      <c r="H19" s="14" t="s">
        <v>69</v>
      </c>
      <c r="I19" s="10" t="s">
        <v>107</v>
      </c>
      <c r="X19" s="10" t="s">
        <v>102</v>
      </c>
      <c r="AC19"/>
    </row>
    <row r="20" spans="2:29" ht="14.4">
      <c r="H20" s="15" t="s">
        <v>61</v>
      </c>
      <c r="I20" s="16">
        <v>4.5</v>
      </c>
      <c r="AC20"/>
    </row>
    <row r="21" spans="2:29" ht="14.4">
      <c r="H21" s="15" t="s">
        <v>15</v>
      </c>
      <c r="I21" s="16">
        <v>3.6111111111111112</v>
      </c>
      <c r="AC21"/>
    </row>
    <row r="22" spans="2:29" ht="14.4">
      <c r="E22" s="26" t="s">
        <v>116</v>
      </c>
      <c r="F22" s="26"/>
      <c r="H22" s="15" t="s">
        <v>2</v>
      </c>
      <c r="I22" s="16">
        <v>3.3</v>
      </c>
      <c r="Z22"/>
      <c r="AA22"/>
      <c r="AB22"/>
    </row>
    <row r="23" spans="2:29" ht="14.4">
      <c r="E23" s="9" t="s">
        <v>71</v>
      </c>
      <c r="F23" s="9" t="s">
        <v>111</v>
      </c>
      <c r="H23" s="15" t="s">
        <v>106</v>
      </c>
      <c r="I23" s="16">
        <v>3.5666666666666669</v>
      </c>
      <c r="Z23"/>
      <c r="AA23"/>
      <c r="AB23"/>
    </row>
    <row r="24" spans="2:29" ht="14.4">
      <c r="E24" s="10" t="s">
        <v>28</v>
      </c>
      <c r="F24" s="9">
        <f>COUNTIF('Data Layer'!D:D, "1-2 hours daily")</f>
        <v>5</v>
      </c>
      <c r="Z24"/>
      <c r="AA24"/>
      <c r="AB24"/>
    </row>
    <row r="25" spans="2:29" ht="14.4">
      <c r="E25" s="10" t="s">
        <v>24</v>
      </c>
      <c r="F25" s="9">
        <f>COUNTIF('Data Layer'!D:D, "3-5 hours daily")</f>
        <v>10</v>
      </c>
      <c r="Z25"/>
      <c r="AA25"/>
      <c r="AB25"/>
    </row>
    <row r="26" spans="2:29" ht="14.4">
      <c r="E26" s="10" t="s">
        <v>4</v>
      </c>
      <c r="F26" s="9">
        <f>COUNTIF('Data Layer'!D:D, "More than 5 hours daily")</f>
        <v>14</v>
      </c>
      <c r="Z26"/>
      <c r="AA26"/>
      <c r="AB26"/>
    </row>
    <row r="27" spans="2:29" ht="14.4">
      <c r="Z27"/>
      <c r="AA27"/>
      <c r="AB27"/>
    </row>
    <row r="28" spans="2:29" ht="14.4" customHeight="1">
      <c r="D28" s="17"/>
      <c r="Z28"/>
      <c r="AA28"/>
      <c r="AB28"/>
    </row>
    <row r="29" spans="2:29" ht="14.4">
      <c r="D29" s="17"/>
      <c r="Z29"/>
      <c r="AA29"/>
      <c r="AB29"/>
    </row>
    <row r="30" spans="2:29" ht="14.4">
      <c r="D30" s="17"/>
      <c r="E30" s="26" t="s">
        <v>118</v>
      </c>
      <c r="F30" s="26"/>
      <c r="Z30"/>
      <c r="AA30"/>
      <c r="AB30"/>
    </row>
    <row r="31" spans="2:29" ht="14.4" customHeight="1">
      <c r="D31" s="17"/>
      <c r="E31" s="9" t="s">
        <v>117</v>
      </c>
      <c r="F31" s="9" t="s">
        <v>111</v>
      </c>
      <c r="Z31"/>
      <c r="AA31"/>
      <c r="AB31"/>
    </row>
    <row r="32" spans="2:29">
      <c r="D32" s="17"/>
      <c r="E32" s="10" t="s">
        <v>42</v>
      </c>
      <c r="F32" s="9">
        <f>COUNTIF('Data Layer'!AF:AF, "Image-based ads")</f>
        <v>2</v>
      </c>
    </row>
    <row r="33" spans="2:8">
      <c r="B33" s="17"/>
      <c r="C33" s="17"/>
      <c r="D33" s="17"/>
      <c r="E33" s="10" t="s">
        <v>13</v>
      </c>
      <c r="F33" s="9">
        <f>COUNTIF('Data Layer'!AF:AF, "Video ads")</f>
        <v>11</v>
      </c>
    </row>
    <row r="34" spans="2:8">
      <c r="B34" s="17"/>
      <c r="C34" s="17"/>
      <c r="D34" s="17"/>
      <c r="E34" s="10" t="s">
        <v>47</v>
      </c>
      <c r="F34" s="9">
        <f>COUNTIF('Data Layer'!AF:AF, "Influencer content")</f>
        <v>2</v>
      </c>
    </row>
    <row r="35" spans="2:8" ht="27.6">
      <c r="B35" s="17"/>
      <c r="C35" s="17"/>
      <c r="D35" s="17"/>
      <c r="E35" s="17" t="s">
        <v>16</v>
      </c>
      <c r="F35" s="22">
        <f>COUNTIF('Data Layer'!AF:AF, "Promotional posts (discounts, giveaways)")</f>
        <v>15</v>
      </c>
    </row>
    <row r="36" spans="2:8">
      <c r="B36" s="17"/>
      <c r="C36" s="17"/>
      <c r="D36" s="17"/>
    </row>
    <row r="37" spans="2:8">
      <c r="B37" s="17"/>
      <c r="C37" s="17"/>
      <c r="D37" s="17"/>
    </row>
    <row r="38" spans="2:8">
      <c r="D38" s="17"/>
      <c r="E38" s="9" t="s">
        <v>113</v>
      </c>
      <c r="F38" s="9" t="s">
        <v>97</v>
      </c>
      <c r="G38" s="9" t="s">
        <v>112</v>
      </c>
      <c r="H38" s="9" t="s">
        <v>75</v>
      </c>
    </row>
    <row r="39" spans="2:8">
      <c r="D39" s="17"/>
      <c r="E39" s="9">
        <v>1</v>
      </c>
      <c r="F39" s="9">
        <v>2</v>
      </c>
      <c r="G39" s="9">
        <v>3</v>
      </c>
      <c r="H39" s="9">
        <v>3</v>
      </c>
    </row>
    <row r="40" spans="2:8">
      <c r="D40" s="17"/>
      <c r="E40" s="9">
        <v>2</v>
      </c>
      <c r="F40" s="9">
        <v>2</v>
      </c>
      <c r="G40" s="9">
        <v>2</v>
      </c>
      <c r="H40" s="9">
        <v>4</v>
      </c>
    </row>
    <row r="41" spans="2:8">
      <c r="D41" s="17"/>
      <c r="E41" s="9">
        <v>3</v>
      </c>
      <c r="F41" s="9">
        <v>2</v>
      </c>
      <c r="G41" s="9">
        <v>2</v>
      </c>
      <c r="H41" s="9">
        <v>3</v>
      </c>
    </row>
    <row r="42" spans="2:8">
      <c r="D42" s="17"/>
      <c r="E42" s="9">
        <v>4</v>
      </c>
      <c r="F42" s="9">
        <v>1</v>
      </c>
      <c r="G42" s="9">
        <v>3</v>
      </c>
      <c r="H42" s="9">
        <v>3</v>
      </c>
    </row>
    <row r="43" spans="2:8">
      <c r="D43" s="17"/>
      <c r="E43" s="9">
        <v>5</v>
      </c>
      <c r="F43" s="9">
        <v>2</v>
      </c>
      <c r="G43" s="9">
        <v>2</v>
      </c>
      <c r="H43" s="9">
        <v>3</v>
      </c>
    </row>
    <row r="44" spans="2:8">
      <c r="B44" s="17"/>
      <c r="C44" s="17"/>
      <c r="D44" s="17"/>
      <c r="E44" s="9">
        <v>6</v>
      </c>
      <c r="F44" s="9">
        <v>3</v>
      </c>
      <c r="G44" s="9">
        <v>3</v>
      </c>
      <c r="H44" s="9">
        <v>4</v>
      </c>
    </row>
    <row r="45" spans="2:8">
      <c r="B45" s="17"/>
      <c r="C45" s="17"/>
      <c r="D45" s="17"/>
      <c r="E45" s="9">
        <v>7</v>
      </c>
      <c r="F45" s="9">
        <v>3</v>
      </c>
      <c r="G45" s="9">
        <v>3</v>
      </c>
      <c r="H45" s="9">
        <v>3</v>
      </c>
    </row>
    <row r="46" spans="2:8">
      <c r="E46" s="9">
        <v>8</v>
      </c>
      <c r="F46" s="9">
        <v>1</v>
      </c>
      <c r="G46" s="9">
        <v>1</v>
      </c>
      <c r="H46" s="9">
        <v>3</v>
      </c>
    </row>
    <row r="47" spans="2:8">
      <c r="E47" s="9">
        <v>9</v>
      </c>
      <c r="F47" s="9">
        <v>3</v>
      </c>
      <c r="G47" s="9">
        <v>3</v>
      </c>
      <c r="H47" s="9">
        <v>3</v>
      </c>
    </row>
    <row r="48" spans="2:8">
      <c r="E48" s="9">
        <v>10</v>
      </c>
      <c r="F48" s="9">
        <v>2</v>
      </c>
      <c r="G48" s="9">
        <v>2</v>
      </c>
      <c r="H48" s="9">
        <v>4</v>
      </c>
    </row>
    <row r="49" spans="5:8">
      <c r="E49" s="9">
        <v>11</v>
      </c>
      <c r="F49" s="9">
        <v>4</v>
      </c>
      <c r="G49" s="9">
        <v>4</v>
      </c>
      <c r="H49" s="9">
        <v>3</v>
      </c>
    </row>
    <row r="50" spans="5:8">
      <c r="E50" s="9">
        <v>12</v>
      </c>
      <c r="F50" s="9">
        <v>2</v>
      </c>
      <c r="G50" s="9">
        <v>5</v>
      </c>
      <c r="H50" s="9">
        <v>4</v>
      </c>
    </row>
    <row r="51" spans="5:8">
      <c r="E51" s="9">
        <v>13</v>
      </c>
      <c r="F51" s="9">
        <v>2</v>
      </c>
      <c r="G51" s="9">
        <v>3</v>
      </c>
      <c r="H51" s="9">
        <v>3</v>
      </c>
    </row>
    <row r="52" spans="5:8">
      <c r="E52" s="9">
        <v>14</v>
      </c>
      <c r="F52" s="9">
        <v>2</v>
      </c>
      <c r="G52" s="9">
        <v>2</v>
      </c>
      <c r="H52" s="9">
        <v>4</v>
      </c>
    </row>
    <row r="53" spans="5:8">
      <c r="E53" s="9">
        <v>15</v>
      </c>
      <c r="F53" s="9">
        <v>2</v>
      </c>
      <c r="G53" s="9">
        <v>1</v>
      </c>
      <c r="H53" s="9">
        <v>3</v>
      </c>
    </row>
    <row r="54" spans="5:8" ht="14.4" customHeight="1">
      <c r="E54" s="9">
        <v>16</v>
      </c>
      <c r="F54" s="9">
        <v>3</v>
      </c>
      <c r="G54" s="9">
        <v>3</v>
      </c>
      <c r="H54" s="9">
        <v>3</v>
      </c>
    </row>
    <row r="55" spans="5:8">
      <c r="E55" s="9">
        <v>17</v>
      </c>
      <c r="F55" s="9">
        <v>2</v>
      </c>
      <c r="G55" s="9">
        <v>2</v>
      </c>
      <c r="H55" s="9">
        <v>3</v>
      </c>
    </row>
    <row r="56" spans="5:8">
      <c r="E56" s="9">
        <v>18</v>
      </c>
      <c r="F56" s="9">
        <v>5</v>
      </c>
      <c r="G56" s="9">
        <v>3</v>
      </c>
      <c r="H56" s="9">
        <v>4</v>
      </c>
    </row>
    <row r="57" spans="5:8">
      <c r="E57" s="9">
        <v>19</v>
      </c>
      <c r="F57" s="9">
        <v>3</v>
      </c>
      <c r="G57" s="9">
        <v>3</v>
      </c>
      <c r="H57" s="9">
        <v>4</v>
      </c>
    </row>
    <row r="58" spans="5:8">
      <c r="E58" s="9">
        <v>20</v>
      </c>
      <c r="F58" s="9">
        <v>3</v>
      </c>
      <c r="G58" s="9">
        <v>2</v>
      </c>
      <c r="H58" s="9">
        <v>4</v>
      </c>
    </row>
    <row r="59" spans="5:8">
      <c r="E59" s="9">
        <v>21</v>
      </c>
      <c r="F59" s="9">
        <v>2</v>
      </c>
      <c r="G59" s="9">
        <v>3</v>
      </c>
      <c r="H59" s="9">
        <v>3</v>
      </c>
    </row>
    <row r="60" spans="5:8">
      <c r="E60" s="9">
        <v>22</v>
      </c>
      <c r="F60" s="9">
        <v>2</v>
      </c>
      <c r="G60" s="9">
        <v>2</v>
      </c>
      <c r="H60" s="9">
        <v>3</v>
      </c>
    </row>
    <row r="61" spans="5:8">
      <c r="E61" s="9">
        <v>23</v>
      </c>
      <c r="F61" s="9">
        <v>1</v>
      </c>
      <c r="G61" s="9">
        <v>2</v>
      </c>
      <c r="H61" s="9">
        <v>4</v>
      </c>
    </row>
    <row r="62" spans="5:8">
      <c r="E62" s="9">
        <v>24</v>
      </c>
      <c r="F62" s="9">
        <v>4</v>
      </c>
      <c r="G62" s="9">
        <v>2</v>
      </c>
      <c r="H62" s="9">
        <v>4</v>
      </c>
    </row>
    <row r="63" spans="5:8">
      <c r="E63" s="9">
        <v>25</v>
      </c>
      <c r="F63" s="9">
        <v>2</v>
      </c>
      <c r="G63" s="9">
        <v>2</v>
      </c>
      <c r="H63" s="9">
        <v>4</v>
      </c>
    </row>
    <row r="64" spans="5:8">
      <c r="E64" s="9">
        <v>26</v>
      </c>
      <c r="F64" s="9">
        <v>2</v>
      </c>
      <c r="G64" s="9">
        <v>3</v>
      </c>
      <c r="H64" s="9">
        <v>4</v>
      </c>
    </row>
    <row r="65" spans="5:8">
      <c r="E65" s="9">
        <v>27</v>
      </c>
      <c r="F65" s="9">
        <v>2</v>
      </c>
      <c r="G65" s="9">
        <v>2</v>
      </c>
      <c r="H65" s="9">
        <v>5</v>
      </c>
    </row>
    <row r="66" spans="5:8">
      <c r="E66" s="9">
        <v>28</v>
      </c>
      <c r="F66" s="9">
        <v>3</v>
      </c>
      <c r="G66" s="9">
        <v>3</v>
      </c>
      <c r="H66" s="9">
        <v>4</v>
      </c>
    </row>
    <row r="67" spans="5:8">
      <c r="E67" s="9">
        <v>29</v>
      </c>
      <c r="F67" s="9">
        <v>2</v>
      </c>
      <c r="G67" s="9">
        <v>4</v>
      </c>
      <c r="H67" s="9">
        <v>3</v>
      </c>
    </row>
    <row r="68" spans="5:8">
      <c r="E68" s="9">
        <v>30</v>
      </c>
      <c r="F68" s="9">
        <v>2</v>
      </c>
      <c r="G68" s="9">
        <v>3</v>
      </c>
      <c r="H68" s="9">
        <v>5</v>
      </c>
    </row>
    <row r="84" spans="6:8" ht="14.4">
      <c r="F84"/>
      <c r="G84"/>
      <c r="H84"/>
    </row>
    <row r="85" spans="6:8" ht="14.4">
      <c r="F85"/>
      <c r="G85"/>
      <c r="H85"/>
    </row>
    <row r="86" spans="6:8" ht="14.4">
      <c r="F86"/>
      <c r="G86"/>
      <c r="H86"/>
    </row>
    <row r="87" spans="6:8" ht="14.4">
      <c r="F87"/>
      <c r="G87"/>
      <c r="H87"/>
    </row>
    <row r="88" spans="6:8" ht="14.4">
      <c r="F88"/>
      <c r="G88"/>
      <c r="H88"/>
    </row>
    <row r="89" spans="6:8" ht="14.4">
      <c r="F89"/>
      <c r="G89"/>
      <c r="H89"/>
    </row>
    <row r="90" spans="6:8" ht="14.4">
      <c r="F90"/>
      <c r="G90"/>
      <c r="H90"/>
    </row>
    <row r="91" spans="6:8" ht="14.4">
      <c r="F91"/>
      <c r="G91"/>
      <c r="H91"/>
    </row>
    <row r="92" spans="6:8" ht="14.4">
      <c r="F92"/>
      <c r="G92"/>
      <c r="H92"/>
    </row>
    <row r="93" spans="6:8" ht="14.4">
      <c r="F93"/>
      <c r="G93"/>
      <c r="H93"/>
    </row>
    <row r="94" spans="6:8" ht="14.4">
      <c r="F94"/>
      <c r="G94"/>
      <c r="H94"/>
    </row>
    <row r="95" spans="6:8" ht="14.4">
      <c r="F95"/>
      <c r="G95"/>
      <c r="H95"/>
    </row>
    <row r="96" spans="6:8" ht="14.4">
      <c r="F96"/>
      <c r="G96"/>
      <c r="H96"/>
    </row>
    <row r="97" spans="6:8" ht="14.4">
      <c r="F97"/>
      <c r="G97"/>
      <c r="H97"/>
    </row>
    <row r="98" spans="6:8" ht="14.4">
      <c r="F98"/>
      <c r="G98"/>
      <c r="H98"/>
    </row>
    <row r="99" spans="6:8" ht="14.4">
      <c r="F99"/>
      <c r="G99"/>
      <c r="H99"/>
    </row>
    <row r="100" spans="6:8" ht="14.4">
      <c r="F100"/>
      <c r="G100"/>
      <c r="H100"/>
    </row>
    <row r="101" spans="6:8" ht="14.4">
      <c r="F101"/>
      <c r="G101"/>
      <c r="H101"/>
    </row>
  </sheetData>
  <mergeCells count="3">
    <mergeCell ref="E2:X2"/>
    <mergeCell ref="E4:G4"/>
    <mergeCell ref="E13:F13"/>
  </mergeCells>
  <conditionalFormatting sqref="B11 B14 B17">
    <cfRule type="cellIs" dxfId="39" priority="1" operator="lessThan">
      <formula>3</formula>
    </cfRule>
    <cfRule type="cellIs" dxfId="38" priority="2" operator="between">
      <formula>3</formula>
      <formula>3.9</formula>
    </cfRule>
  </conditionalFormatting>
  <conditionalFormatting sqref="B14 B17">
    <cfRule type="cellIs" dxfId="37" priority="4" operator="greaterThan">
      <formula>4</formula>
    </cfRule>
  </conditionalFormatting>
  <pageMargins left="0.7" right="0.7" top="0.75" bottom="0.75" header="0.3" footer="0.3"/>
  <drawing r:id="rId3"/>
  <tableParts count="6">
    <tablePart r:id="rId4"/>
    <tablePart r:id="rId5"/>
    <tablePart r:id="rId6"/>
    <tablePart r:id="rId7"/>
    <tablePart r:id="rId8"/>
    <tablePart r:id="rId9"/>
  </tableParts>
  <extLst>
    <ext xmlns:x14="http://schemas.microsoft.com/office/spreadsheetml/2009/9/main" uri="{A8765BA9-456A-4dab-B4F3-ACF838C121DE}">
      <x14:slicerList>
        <x14:slicer r:id="rId10"/>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5980D-6E2C-48D7-93A1-68406979D1BA}">
  <sheetPr codeName="Sheet4"/>
  <dimension ref="A1:AQ84"/>
  <sheetViews>
    <sheetView showGridLines="0" zoomScale="47" zoomScaleNormal="45" workbookViewId="0">
      <selection activeCell="B60" sqref="B60"/>
    </sheetView>
  </sheetViews>
  <sheetFormatPr defaultRowHeight="16.8"/>
  <cols>
    <col min="1" max="1" width="8.88671875" style="6"/>
    <col min="2" max="2" width="8.88671875" style="6" customWidth="1"/>
    <col min="3" max="16384" width="8.88671875" style="6"/>
  </cols>
  <sheetData>
    <row r="1" spans="1:4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row>
    <row r="2" spans="1:43">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row>
    <row r="3" spans="1:43">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row>
    <row r="4" spans="1:43">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row>
    <row r="5" spans="1:43">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row>
    <row r="6" spans="1:43">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row>
    <row r="7" spans="1:4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row>
    <row r="8" spans="1:43">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row>
    <row r="9" spans="1:43">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row>
    <row r="10" spans="1:43" ht="14.4" customHeight="1">
      <c r="A10" s="5"/>
      <c r="B10" s="5"/>
      <c r="C10" s="8"/>
      <c r="D10" s="8"/>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row>
    <row r="11" spans="1:43" ht="14.4" customHeight="1">
      <c r="A11" s="5"/>
      <c r="B11" s="5"/>
      <c r="C11" s="8"/>
      <c r="D11" s="8"/>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row>
    <row r="12" spans="1:43" ht="16.8" customHeight="1">
      <c r="A12" s="5"/>
      <c r="B12" s="5"/>
      <c r="C12" s="8"/>
      <c r="D12" s="8"/>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row>
    <row r="13" spans="1:43" ht="14.4" customHeight="1">
      <c r="A13" s="5"/>
      <c r="B13" s="5"/>
      <c r="C13" s="8"/>
      <c r="D13" s="8"/>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row>
    <row r="14" spans="1:4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row>
    <row r="15" spans="1:4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row>
    <row r="16" spans="1:4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row>
    <row r="17" spans="1:4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row>
    <row r="18" spans="1:4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row>
    <row r="19" spans="1:4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row>
    <row r="20" spans="1:4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row>
    <row r="21" spans="1:43">
      <c r="A21" s="5"/>
      <c r="B21" s="5"/>
      <c r="C21" s="5"/>
      <c r="D21" s="5"/>
      <c r="E21" s="5"/>
      <c r="F21" s="5"/>
      <c r="G21" s="7"/>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row>
    <row r="22" spans="1:4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row>
    <row r="23" spans="1:4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row>
    <row r="24" spans="1:4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row>
    <row r="25" spans="1:4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row>
    <row r="26" spans="1:4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row>
    <row r="27" spans="1:4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row>
    <row r="28" spans="1:4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row>
    <row r="29" spans="1:4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row>
    <row r="30" spans="1:4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row>
    <row r="31" spans="1:4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row>
    <row r="32" spans="1:4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row>
    <row r="33" spans="1:4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row>
    <row r="34" spans="1:4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row>
    <row r="35" spans="1:4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row>
    <row r="36" spans="1:4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row>
    <row r="37" spans="1:4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row>
    <row r="38" spans="1:4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row>
    <row r="39" spans="1:4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row>
    <row r="40" spans="1:4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row>
    <row r="41" spans="1:4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row>
    <row r="42" spans="1:4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row>
    <row r="43" spans="1:4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row>
    <row r="44" spans="1:4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row>
    <row r="45" spans="1:4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row>
    <row r="46" spans="1:4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row>
    <row r="47" spans="1:4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row>
    <row r="48" spans="1:4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row>
    <row r="49" spans="1:4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row>
    <row r="50" spans="1:4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row>
    <row r="51" spans="1:4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row>
    <row r="52" spans="1:4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row>
    <row r="53" spans="1:4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row>
    <row r="54" spans="1:4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row>
    <row r="55" spans="1:43">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row>
    <row r="56" spans="1:43">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row>
    <row r="57" spans="1:43">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row>
    <row r="58" spans="1:43">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row>
    <row r="59" spans="1:43">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row>
    <row r="60" spans="1:43">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row>
    <row r="61" spans="1:43">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row>
    <row r="62" spans="1:43">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row>
    <row r="63" spans="1:43">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row>
    <row r="64" spans="1:43">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row>
    <row r="65" spans="1:43">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row>
    <row r="66" spans="1:43">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row>
    <row r="67" spans="1:43">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row>
    <row r="68" spans="1:43">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row>
    <row r="69" spans="1:43">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row>
    <row r="70" spans="1:43">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row>
    <row r="71" spans="1:43">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row>
    <row r="72" spans="1:43">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row>
    <row r="73" spans="1:43">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row>
    <row r="74" spans="1:43">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row>
    <row r="75" spans="1:43">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row>
    <row r="76" spans="1:43">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row>
    <row r="77" spans="1:43">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row>
    <row r="78" spans="1:43">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row>
    <row r="79" spans="1:43">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row>
    <row r="80" spans="1:43">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row>
    <row r="81" spans="1:43">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row>
    <row r="82" spans="1:43">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row>
    <row r="83" spans="1:43">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row>
    <row r="84" spans="1:43">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89160-A5C4-4038-AA76-CC08F4ADD8CC}">
  <sheetPr codeName="Sheet5"/>
  <dimension ref="A1:AQ62"/>
  <sheetViews>
    <sheetView tabSelected="1" topLeftCell="B1" zoomScale="55" workbookViewId="0">
      <selection activeCell="H36" sqref="H36"/>
    </sheetView>
  </sheetViews>
  <sheetFormatPr defaultRowHeight="14.4"/>
  <cols>
    <col min="4" max="4" width="8.88671875" customWidth="1"/>
  </cols>
  <sheetData>
    <row r="1" spans="1:43">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row>
    <row r="2" spans="1:43">
      <c r="A2" s="27"/>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row>
    <row r="3" spans="1:43">
      <c r="A3" s="27"/>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row>
    <row r="4" spans="1:43">
      <c r="A4" s="27"/>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row>
    <row r="5" spans="1:43">
      <c r="A5" s="27"/>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row>
    <row r="6" spans="1:43">
      <c r="A6" s="27"/>
      <c r="B6" s="27"/>
      <c r="C6" s="27"/>
      <c r="D6" s="27"/>
      <c r="E6" s="27"/>
      <c r="F6" s="27"/>
      <c r="G6" s="27"/>
      <c r="H6" s="27"/>
      <c r="I6" s="27"/>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27"/>
      <c r="AP6" s="27"/>
      <c r="AQ6" s="27"/>
    </row>
    <row r="7" spans="1:43">
      <c r="A7" s="27"/>
      <c r="B7" s="27"/>
      <c r="C7" s="27"/>
      <c r="D7" s="27"/>
      <c r="E7" s="27"/>
      <c r="F7" s="28">
        <f>COUNTA('Raw Data'!A:A)-1</f>
        <v>30</v>
      </c>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row>
    <row r="8" spans="1:43">
      <c r="A8" s="27"/>
      <c r="B8" s="27"/>
      <c r="C8" s="27"/>
      <c r="D8" s="27"/>
      <c r="E8" s="27"/>
      <c r="F8" s="27"/>
      <c r="G8" s="27"/>
      <c r="H8" s="27"/>
      <c r="I8" s="27"/>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row>
    <row r="9" spans="1:43">
      <c r="A9" s="27"/>
      <c r="B9" s="27"/>
      <c r="C9" s="27"/>
      <c r="D9" s="27"/>
      <c r="E9" s="27"/>
      <c r="F9" s="27"/>
      <c r="G9" s="27"/>
      <c r="H9" s="27"/>
      <c r="I9" s="27"/>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row>
    <row r="10" spans="1:43">
      <c r="A10" s="27"/>
      <c r="B10" s="27"/>
      <c r="C10" s="2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row>
    <row r="11" spans="1:43">
      <c r="A11" s="27"/>
      <c r="B11" s="27"/>
      <c r="C11" s="27"/>
      <c r="D11" s="27"/>
      <c r="E11" s="27"/>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row>
    <row r="12" spans="1:43">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row>
    <row r="13" spans="1:43">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row>
    <row r="14" spans="1:43">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row>
    <row r="15" spans="1:43">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row>
    <row r="16" spans="1:43">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row>
    <row r="17" spans="1:43">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row>
    <row r="18" spans="1:43">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row>
    <row r="19" spans="1:43">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row>
    <row r="20" spans="1:43">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row>
    <row r="21" spans="1:43">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row>
    <row r="22" spans="1:43">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row>
    <row r="23" spans="1:43">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row>
    <row r="24" spans="1:43">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c r="AP24" s="27"/>
      <c r="AQ24" s="27"/>
    </row>
    <row r="25" spans="1:43">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c r="AF25" s="27"/>
      <c r="AG25" s="27"/>
      <c r="AH25" s="27"/>
      <c r="AI25" s="27"/>
      <c r="AJ25" s="27"/>
      <c r="AK25" s="27"/>
      <c r="AL25" s="27"/>
      <c r="AM25" s="27"/>
      <c r="AN25" s="27"/>
      <c r="AO25" s="27"/>
      <c r="AP25" s="27"/>
      <c r="AQ25" s="27"/>
    </row>
    <row r="26" spans="1:43">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row>
    <row r="27" spans="1:43">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row>
    <row r="28" spans="1:43">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row>
    <row r="29" spans="1:43">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row>
    <row r="30" spans="1:43">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row>
    <row r="31" spans="1:43">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row>
    <row r="32" spans="1:43">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row>
    <row r="33" spans="1:43">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row>
    <row r="34" spans="1:43">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row>
    <row r="35" spans="1:43">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row>
    <row r="36" spans="1:43">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row>
    <row r="37" spans="1:43">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row>
    <row r="38" spans="1:43">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row>
    <row r="39" spans="1:43">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row>
    <row r="40" spans="1:43">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row>
    <row r="41" spans="1:43">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row>
    <row r="42" spans="1:43">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row>
    <row r="43" spans="1:43">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row>
    <row r="44" spans="1:43">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row>
    <row r="45" spans="1:43">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row>
    <row r="46" spans="1:43">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row>
    <row r="47" spans="1:43">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row>
    <row r="48" spans="1:43">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row>
    <row r="49" spans="1:43">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row>
    <row r="50" spans="1:43">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row>
    <row r="51" spans="1:43">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row>
    <row r="52" spans="1:43">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row>
    <row r="53" spans="1:43">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row>
    <row r="54" spans="1:43">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row>
    <row r="55" spans="1:43">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row>
    <row r="56" spans="1:43">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row>
    <row r="57" spans="1:43">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row>
    <row r="58" spans="1:43">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row>
    <row r="59" spans="1:43">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row>
    <row r="60" spans="1:43">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row>
    <row r="61" spans="1:43">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row>
    <row r="62" spans="1:43">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98CE9F3-1A58-4FD5-A2EF-E165F5C9853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 Data</vt:lpstr>
      <vt:lpstr>Data Layer</vt:lpstr>
      <vt:lpstr>Analysis Layer</vt:lpstr>
      <vt:lpstr>Visualization Layer</vt:lpstr>
      <vt:lpstr>Settings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Iverene Grace</dc:creator>
  <cp:lastModifiedBy>Iverene Grace Causapin</cp:lastModifiedBy>
  <dcterms:created xsi:type="dcterms:W3CDTF">2025-11-17T09:04:42Z</dcterms:created>
  <dcterms:modified xsi:type="dcterms:W3CDTF">2026-09-07T05:38:19Z</dcterms:modified>
</cp:coreProperties>
</file>