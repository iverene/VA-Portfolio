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rene Grace\Virtual Assistant Files\Portfolio\Data and Spreadsheet Management\"/>
    </mc:Choice>
  </mc:AlternateContent>
  <xr:revisionPtr revIDLastSave="0" documentId="13_ncr:1_{C1C2AF97-851B-4651-AF08-85B82A721F93}" xr6:coauthVersionLast="47" xr6:coauthVersionMax="47" xr10:uidLastSave="{00000000-0000-0000-0000-000000000000}"/>
  <bookViews>
    <workbookView xWindow="-108" yWindow="-108" windowWidth="23256" windowHeight="13176" activeTab="1" xr2:uid="{071E92B0-ACFB-4BDD-A5B5-1AB35A0ACF68}"/>
  </bookViews>
  <sheets>
    <sheet name="Client List" sheetId="1" r:id="rId1"/>
    <sheet name="Follow-Up Track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L8" i="2"/>
  <c r="L7" i="2"/>
  <c r="L6" i="2"/>
  <c r="L4" i="2"/>
  <c r="L3" i="2"/>
  <c r="L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</calcChain>
</file>

<file path=xl/sharedStrings.xml><?xml version="1.0" encoding="utf-8"?>
<sst xmlns="http://schemas.openxmlformats.org/spreadsheetml/2006/main" count="162" uniqueCount="94">
  <si>
    <t>Client ID</t>
  </si>
  <si>
    <t>Client Name</t>
  </si>
  <si>
    <t>Company</t>
  </si>
  <si>
    <t>Service</t>
  </si>
  <si>
    <t>Email</t>
  </si>
  <si>
    <t>Phone</t>
  </si>
  <si>
    <t>CL001</t>
  </si>
  <si>
    <t>Anna Santos</t>
  </si>
  <si>
    <t>Santos Events</t>
  </si>
  <si>
    <t>Website Design</t>
  </si>
  <si>
    <t>anna@santosevents.com</t>
  </si>
  <si>
    <t>CL002</t>
  </si>
  <si>
    <t>Mark Reyes</t>
  </si>
  <si>
    <t>Reyes Realty</t>
  </si>
  <si>
    <t>Virtual Assistance</t>
  </si>
  <si>
    <t>mark@reyesrealty.com</t>
  </si>
  <si>
    <t>CL003</t>
  </si>
  <si>
    <t>Julia Cruz</t>
  </si>
  <si>
    <t>Cruz Boutique</t>
  </si>
  <si>
    <t>Social Media Management</t>
  </si>
  <si>
    <t>julia@cruzboutique.com</t>
  </si>
  <si>
    <t>CL004</t>
  </si>
  <si>
    <t>Daniel Garcia</t>
  </si>
  <si>
    <t>Garcia Consulting</t>
  </si>
  <si>
    <t>Data Entry</t>
  </si>
  <si>
    <t>daniel@garciaconsulting.com</t>
  </si>
  <si>
    <t>CL005</t>
  </si>
  <si>
    <t>Sofia Mendoza</t>
  </si>
  <si>
    <t>Mendoza Cafe</t>
  </si>
  <si>
    <t>sofia@mendozacafe.com</t>
  </si>
  <si>
    <t>CL006</t>
  </si>
  <si>
    <t>Carlo Aquino</t>
  </si>
  <si>
    <t>Aquino Fitness</t>
  </si>
  <si>
    <t>carlo@aquinofitness.com</t>
  </si>
  <si>
    <t>CL007</t>
  </si>
  <si>
    <t>Mia Torres</t>
  </si>
  <si>
    <t>Torres Photography</t>
  </si>
  <si>
    <t>mia@torresphoto.com</t>
  </si>
  <si>
    <t>CL008</t>
  </si>
  <si>
    <t>Lucas Navarro</t>
  </si>
  <si>
    <t>Navarro Travel</t>
  </si>
  <si>
    <t>lucas@navarrotravel.com</t>
  </si>
  <si>
    <t>CL009</t>
  </si>
  <si>
    <t>Bea Flores</t>
  </si>
  <si>
    <t>Flores Studio</t>
  </si>
  <si>
    <t>bea@floresstudio.com</t>
  </si>
  <si>
    <t>CL010</t>
  </si>
  <si>
    <t>Ethan Ramos</t>
  </si>
  <si>
    <t>Ramos Construction</t>
  </si>
  <si>
    <t>ethan@ramosconstruction.com</t>
  </si>
  <si>
    <t>09171234567</t>
  </si>
  <si>
    <t>09182345678</t>
  </si>
  <si>
    <t>09193456789</t>
  </si>
  <si>
    <t>09204567890</t>
  </si>
  <si>
    <t>09215678901</t>
  </si>
  <si>
    <t>09226789012</t>
  </si>
  <si>
    <t>09237890123</t>
  </si>
  <si>
    <t>09248901234</t>
  </si>
  <si>
    <t>09259012345</t>
  </si>
  <si>
    <t>09260123456</t>
  </si>
  <si>
    <t>Follow-Up Date</t>
  </si>
  <si>
    <t>Follow-Up Type</t>
  </si>
  <si>
    <t>Status</t>
  </si>
  <si>
    <t>Amount</t>
  </si>
  <si>
    <t>Notes</t>
  </si>
  <si>
    <t>Completed</t>
  </si>
  <si>
    <t>Sent proposal</t>
  </si>
  <si>
    <t>Call</t>
  </si>
  <si>
    <t>Pending</t>
  </si>
  <si>
    <t>Waiting for response</t>
  </si>
  <si>
    <t>Sent service details</t>
  </si>
  <si>
    <t>No Response</t>
  </si>
  <si>
    <t>Try again next week</t>
  </si>
  <si>
    <t>Proposal under review</t>
  </si>
  <si>
    <t>Interested in package</t>
  </si>
  <si>
    <t>Waiting for confirmation</t>
  </si>
  <si>
    <t>Discussed requirements</t>
  </si>
  <si>
    <t>Follow up again</t>
  </si>
  <si>
    <t>Requested more information</t>
  </si>
  <si>
    <t>Client approved proposal</t>
  </si>
  <si>
    <t>No reply</t>
  </si>
  <si>
    <t>Schedule another call</t>
  </si>
  <si>
    <t>Documents received</t>
  </si>
  <si>
    <t>Follow-up scheduled</t>
  </si>
  <si>
    <t>Contract sent</t>
  </si>
  <si>
    <t>No answer</t>
  </si>
  <si>
    <t>Waiting for approval</t>
  </si>
  <si>
    <t>Client confirmed</t>
  </si>
  <si>
    <t>Waiting for reply</t>
  </si>
  <si>
    <t>Follow-Up Summary</t>
  </si>
  <si>
    <t>Pending Value</t>
  </si>
  <si>
    <t>Completed Value</t>
  </si>
  <si>
    <t>No Response Value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</si>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</sst>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m/dd/yyyy;@"/>
    <numFmt numFmtId="171" formatCode="&quot;₱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9">
    <border>
      <left/>
      <right/>
      <top/>
      <bottom/>
      <diagonal/>
    </border>
    <border>
      <left style="thin">
        <color theme="1" tint="0.14999847407452621"/>
      </left>
      <right/>
      <top style="thin">
        <color theme="1" tint="0.14999847407452621"/>
      </top>
      <bottom/>
      <diagonal/>
    </border>
    <border>
      <left/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/>
      <top/>
      <bottom/>
      <diagonal/>
    </border>
    <border>
      <left/>
      <right style="thin">
        <color theme="1" tint="0.14999847407452621"/>
      </right>
      <top/>
      <bottom/>
      <diagonal/>
    </border>
    <border>
      <left style="thin">
        <color theme="1" tint="0.14999847407452621"/>
      </left>
      <right/>
      <top/>
      <bottom style="thin">
        <color theme="1" tint="0.14999847407452621"/>
      </bottom>
      <diagonal/>
    </border>
    <border>
      <left/>
      <right style="thin">
        <color theme="1" tint="0.14999847407452621"/>
      </right>
      <top/>
      <bottom style="thin">
        <color theme="1" tint="0.14999847407452621"/>
      </bottom>
      <diagonal/>
    </border>
    <border>
      <left style="thin">
        <color theme="1" tint="0.14999847407452621"/>
      </left>
      <right/>
      <top style="thin">
        <color theme="1" tint="0.14999847407452621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2" applyAlignment="1">
      <alignment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170" fontId="0" fillId="0" borderId="0" xfId="0" applyNumberForma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right" vertical="center"/>
    </xf>
    <xf numFmtId="0" fontId="0" fillId="0" borderId="3" xfId="0" applyBorder="1"/>
    <xf numFmtId="0" fontId="0" fillId="0" borderId="4" xfId="0" applyBorder="1"/>
    <xf numFmtId="171" fontId="0" fillId="0" borderId="4" xfId="0" applyNumberFormat="1" applyBorder="1"/>
    <xf numFmtId="0" fontId="0" fillId="0" borderId="5" xfId="0" applyBorder="1"/>
    <xf numFmtId="171" fontId="0" fillId="0" borderId="6" xfId="0" applyNumberFormat="1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171" fontId="0" fillId="0" borderId="2" xfId="0" applyNumberFormat="1" applyBorder="1"/>
    <xf numFmtId="0" fontId="1" fillId="2" borderId="7" xfId="1" applyFont="1" applyBorder="1" applyAlignment="1">
      <alignment horizontal="center"/>
    </xf>
    <xf numFmtId="0" fontId="1" fillId="2" borderId="8" xfId="1" applyFont="1" applyBorder="1" applyAlignment="1">
      <alignment horizontal="center"/>
    </xf>
  </cellXfs>
  <cellStyles count="3">
    <cellStyle name="Accent3" xfId="1" builtinId="37"/>
    <cellStyle name="Hyperlink" xfId="2" builtinId="8"/>
    <cellStyle name="Normal" xfId="0" builtinId="0"/>
  </cellStyles>
  <dxfs count="40">
    <dxf>
      <numFmt numFmtId="0" formatCode="General"/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71" formatCode="&quot;₱&quot;#,##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70" formatCode="mm/dd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24041F-D6F0-4720-9F5A-E5DC16998AEF}" name="ClientTable" displayName="ClientTable" ref="A1:F11" totalsRowShown="0" headerRowDxfId="35" dataDxfId="36">
  <autoFilter ref="A1:F11" xr:uid="{9124041F-D6F0-4720-9F5A-E5DC16998AEF}"/>
  <tableColumns count="6">
    <tableColumn id="1" xr3:uid="{E8973C27-E3F8-4ED9-853A-783442BF888D}" name="Client ID" dataDxfId="33"/>
    <tableColumn id="2" xr3:uid="{F1865E5C-74CB-41C0-B188-846A491472CD}" name="Client Name" dataDxfId="34"/>
    <tableColumn id="3" xr3:uid="{15283846-B4BC-4BB3-836F-2CB2A37A6AD8}" name="Company" dataDxfId="39"/>
    <tableColumn id="4" xr3:uid="{4EA25CB1-D995-45C0-AEEE-217DB12210DA}" name="Service" dataDxfId="38"/>
    <tableColumn id="5" xr3:uid="{FF2684DB-58E5-4327-A721-9CAB1D0AFC0D}" name="Email" dataDxfId="37" dataCellStyle="Hyperlink"/>
    <tableColumn id="6" xr3:uid="{4CEAB185-D84B-45C0-94F1-5EFC6849B621}" name="Phone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687CD9-BB65-475C-8C85-35489D2B8507}" name="FollowUpTable" displayName="FollowUpTable" ref="A1:I21" totalsRowShown="0" headerRowDxfId="27" dataDxfId="31">
  <autoFilter ref="A1:I21" xr:uid="{0F687CD9-BB65-475C-8C85-35489D2B8507}"/>
  <tableColumns count="9">
    <tableColumn id="1" xr3:uid="{5E2504AD-70AD-4A41-8BBF-649EF546A2BF}" name="Follow-Up Date" dataDxfId="28"/>
    <tableColumn id="2" xr3:uid="{EF446720-C7BC-4C49-9B53-FE098F582F84}" name="Client ID" dataDxfId="29"/>
    <tableColumn id="3" xr3:uid="{5A508B21-7F02-4806-A95E-4D11E8C6DBC1}" name="Follow-Up Type" dataDxfId="30"/>
    <tableColumn id="4" xr3:uid="{7E46C54A-B0E0-4FDC-8F71-368C727940F6}" name="Status" dataDxfId="26"/>
    <tableColumn id="5" xr3:uid="{3009E355-3C23-467F-96D3-08772DDB2569}" name="Amount" dataDxfId="24"/>
    <tableColumn id="6" xr3:uid="{B28BCE11-1E2B-4316-9232-E952EC93629D}" name="Notes" dataDxfId="25"/>
    <tableColumn id="7" xr3:uid="{61E61F13-1782-4AD9-9D60-CADA2EE9B32C}" name="Client Name" dataDxfId="23">
      <calculatedColumnFormula>_xlfn.XLOOKUP(B2,'Client List'!A:A,'Client List'!B:B,"Not Found")</calculatedColumnFormula>
    </tableColumn>
    <tableColumn id="8" xr3:uid="{A169B1E0-8E76-4BA6-B12B-F0ED12F7E85D}" name="Company" dataDxfId="22">
      <calculatedColumnFormula>_xlfn.XLOOKUP(B2,'Client List'!A:A,'Client List'!C:C,"Not Found")</calculatedColumnFormula>
    </tableColumn>
    <tableColumn id="9" xr3:uid="{5B01F647-0427-42EB-A808-24B7A026667C}" name="Priority" dataDxfId="0">
      <calculatedColumnFormula>IF(D2="Pending","High",IF(D2="No Response","Medium","Low"))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cas@navarrotravel.com" TargetMode="External"/><Relationship Id="rId3" Type="http://schemas.openxmlformats.org/officeDocument/2006/relationships/hyperlink" Target="mailto:julia@cruzboutique.com" TargetMode="External"/><Relationship Id="rId7" Type="http://schemas.openxmlformats.org/officeDocument/2006/relationships/hyperlink" Target="mailto:mia@torresphoto.com" TargetMode="External"/><Relationship Id="rId2" Type="http://schemas.openxmlformats.org/officeDocument/2006/relationships/hyperlink" Target="mailto:mark@reyesrealty.com" TargetMode="External"/><Relationship Id="rId1" Type="http://schemas.openxmlformats.org/officeDocument/2006/relationships/hyperlink" Target="mailto:anna@santosevents.com" TargetMode="External"/><Relationship Id="rId6" Type="http://schemas.openxmlformats.org/officeDocument/2006/relationships/hyperlink" Target="mailto:carlo@aquinofitness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sofia@mendozacafe.com" TargetMode="External"/><Relationship Id="rId10" Type="http://schemas.openxmlformats.org/officeDocument/2006/relationships/hyperlink" Target="mailto:ethan@ramosconstruction.com" TargetMode="External"/><Relationship Id="rId4" Type="http://schemas.openxmlformats.org/officeDocument/2006/relationships/hyperlink" Target="mailto:daniel@garciaconsulting.com" TargetMode="External"/><Relationship Id="rId9" Type="http://schemas.openxmlformats.org/officeDocument/2006/relationships/hyperlink" Target="mailto:bea@floresstudi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22A4-F35D-4204-85A9-3C05BE5B4040}">
  <dimension ref="A1:F11"/>
  <sheetViews>
    <sheetView workbookViewId="0">
      <selection sqref="A1:F11"/>
    </sheetView>
  </sheetViews>
  <sheetFormatPr defaultRowHeight="14.4" x14ac:dyDescent="0.3"/>
  <cols>
    <col min="1" max="1" width="11.109375" customWidth="1"/>
    <col min="2" max="2" width="17.77734375" customWidth="1"/>
    <col min="3" max="3" width="21.77734375" customWidth="1"/>
    <col min="4" max="4" width="25.21875" customWidth="1"/>
    <col min="5" max="5" width="29.6640625" customWidth="1"/>
    <col min="6" max="6" width="1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 x14ac:dyDescent="0.3">
      <c r="A2" s="4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6" t="s">
        <v>50</v>
      </c>
    </row>
    <row r="3" spans="1:6" x14ac:dyDescent="0.3">
      <c r="A3" s="4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6" t="s">
        <v>51</v>
      </c>
    </row>
    <row r="4" spans="1:6" x14ac:dyDescent="0.3">
      <c r="A4" s="4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6" t="s">
        <v>52</v>
      </c>
    </row>
    <row r="5" spans="1:6" x14ac:dyDescent="0.3">
      <c r="A5" s="4" t="s">
        <v>21</v>
      </c>
      <c r="B5" s="2" t="s">
        <v>22</v>
      </c>
      <c r="C5" s="2" t="s">
        <v>23</v>
      </c>
      <c r="D5" s="2" t="s">
        <v>24</v>
      </c>
      <c r="E5" s="3" t="s">
        <v>25</v>
      </c>
      <c r="F5" s="6" t="s">
        <v>53</v>
      </c>
    </row>
    <row r="6" spans="1:6" x14ac:dyDescent="0.3">
      <c r="A6" s="4" t="s">
        <v>26</v>
      </c>
      <c r="B6" s="2" t="s">
        <v>27</v>
      </c>
      <c r="C6" s="2" t="s">
        <v>28</v>
      </c>
      <c r="D6" s="2" t="s">
        <v>9</v>
      </c>
      <c r="E6" s="3" t="s">
        <v>29</v>
      </c>
      <c r="F6" s="6" t="s">
        <v>54</v>
      </c>
    </row>
    <row r="7" spans="1:6" x14ac:dyDescent="0.3">
      <c r="A7" s="4" t="s">
        <v>30</v>
      </c>
      <c r="B7" s="2" t="s">
        <v>31</v>
      </c>
      <c r="C7" s="2" t="s">
        <v>32</v>
      </c>
      <c r="D7" s="2" t="s">
        <v>19</v>
      </c>
      <c r="E7" s="3" t="s">
        <v>33</v>
      </c>
      <c r="F7" s="6" t="s">
        <v>55</v>
      </c>
    </row>
    <row r="8" spans="1:6" x14ac:dyDescent="0.3">
      <c r="A8" s="4" t="s">
        <v>34</v>
      </c>
      <c r="B8" s="2" t="s">
        <v>35</v>
      </c>
      <c r="C8" s="2" t="s">
        <v>36</v>
      </c>
      <c r="D8" s="2" t="s">
        <v>14</v>
      </c>
      <c r="E8" s="3" t="s">
        <v>37</v>
      </c>
      <c r="F8" s="6" t="s">
        <v>56</v>
      </c>
    </row>
    <row r="9" spans="1:6" x14ac:dyDescent="0.3">
      <c r="A9" s="4" t="s">
        <v>38</v>
      </c>
      <c r="B9" s="2" t="s">
        <v>39</v>
      </c>
      <c r="C9" s="2" t="s">
        <v>40</v>
      </c>
      <c r="D9" s="2" t="s">
        <v>24</v>
      </c>
      <c r="E9" s="3" t="s">
        <v>41</v>
      </c>
      <c r="F9" s="6" t="s">
        <v>57</v>
      </c>
    </row>
    <row r="10" spans="1:6" x14ac:dyDescent="0.3">
      <c r="A10" s="4" t="s">
        <v>42</v>
      </c>
      <c r="B10" s="2" t="s">
        <v>43</v>
      </c>
      <c r="C10" s="2" t="s">
        <v>44</v>
      </c>
      <c r="D10" s="2" t="s">
        <v>9</v>
      </c>
      <c r="E10" s="3" t="s">
        <v>45</v>
      </c>
      <c r="F10" s="6" t="s">
        <v>58</v>
      </c>
    </row>
    <row r="11" spans="1:6" x14ac:dyDescent="0.3">
      <c r="A11" s="4" t="s">
        <v>46</v>
      </c>
      <c r="B11" s="2" t="s">
        <v>47</v>
      </c>
      <c r="C11" s="2" t="s">
        <v>48</v>
      </c>
      <c r="D11" s="2" t="s">
        <v>14</v>
      </c>
      <c r="E11" s="3" t="s">
        <v>49</v>
      </c>
      <c r="F11" s="6" t="s">
        <v>59</v>
      </c>
    </row>
  </sheetData>
  <hyperlinks>
    <hyperlink ref="E2" r:id="rId1" display="mailto:anna@santosevents.com" xr:uid="{00B7573E-07AB-4F4E-974F-D109950835B2}"/>
    <hyperlink ref="E3" r:id="rId2" display="mailto:mark@reyesrealty.com" xr:uid="{60ED9CC8-80AE-483B-8717-5557DADE39E7}"/>
    <hyperlink ref="E4" r:id="rId3" display="mailto:julia@cruzboutique.com" xr:uid="{9F3588C3-125C-461E-A908-4BB25D9E4D21}"/>
    <hyperlink ref="E5" r:id="rId4" display="mailto:daniel@garciaconsulting.com" xr:uid="{EBD92D71-226B-43FD-9D0A-F46C87D76134}"/>
    <hyperlink ref="E6" r:id="rId5" display="mailto:sofia@mendozacafe.com" xr:uid="{A030B271-548B-41BD-9AF6-886852D0CDDB}"/>
    <hyperlink ref="E7" r:id="rId6" display="mailto:carlo@aquinofitness.com" xr:uid="{661734E5-70EA-42F6-9307-DE537B8F6B22}"/>
    <hyperlink ref="E8" r:id="rId7" display="mailto:mia@torresphoto.com" xr:uid="{6B6B77C7-C637-479A-A14B-2597BB084E92}"/>
    <hyperlink ref="E9" r:id="rId8" display="mailto:lucas@navarrotravel.com" xr:uid="{0DC82F15-360A-434F-A788-BD925BB0D364}"/>
    <hyperlink ref="E10" r:id="rId9" display="mailto:bea@floresstudio.com" xr:uid="{78142E4E-F586-4886-9A17-197961F7266E}"/>
    <hyperlink ref="E11" r:id="rId10" display="mailto:ethan@ramosconstruction.com" xr:uid="{C13C3CC6-EC59-4060-A576-B6E6CA1EC6D9}"/>
  </hyperlinks>
  <pageMargins left="0.7" right="0.7" top="0.75" bottom="0.75" header="0.3" footer="0.3"/>
  <ignoredErrors>
    <ignoredError sqref="F2:F11" numberStoredAsText="1"/>
  </ignoredErrors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E8A4-2DD9-4B39-B3AE-614C67B44406}">
  <dimension ref="A1:L21"/>
  <sheetViews>
    <sheetView tabSelected="1" workbookViewId="0">
      <selection activeCell="H25" sqref="H25"/>
    </sheetView>
  </sheetViews>
  <sheetFormatPr defaultRowHeight="14.4" x14ac:dyDescent="0.3"/>
  <cols>
    <col min="1" max="1" width="20.21875" customWidth="1"/>
    <col min="2" max="2" width="14.33203125" customWidth="1"/>
    <col min="3" max="3" width="19.109375" customWidth="1"/>
    <col min="4" max="4" width="17.88671875" customWidth="1"/>
    <col min="5" max="5" width="14.109375" customWidth="1"/>
    <col min="6" max="6" width="35.44140625" customWidth="1"/>
    <col min="7" max="7" width="19" customWidth="1"/>
    <col min="8" max="8" width="31.44140625" customWidth="1"/>
    <col min="9" max="9" width="24" customWidth="1"/>
    <col min="10" max="10" width="19.109375" customWidth="1"/>
    <col min="11" max="11" width="13.88671875" customWidth="1"/>
    <col min="12" max="12" width="16.109375" customWidth="1"/>
  </cols>
  <sheetData>
    <row r="1" spans="1:12" x14ac:dyDescent="0.3">
      <c r="A1" s="1" t="s">
        <v>60</v>
      </c>
      <c r="B1" s="1" t="s">
        <v>0</v>
      </c>
      <c r="C1" s="1" t="s">
        <v>61</v>
      </c>
      <c r="D1" s="1" t="s">
        <v>62</v>
      </c>
      <c r="E1" s="8" t="s">
        <v>63</v>
      </c>
      <c r="F1" s="1" t="s">
        <v>64</v>
      </c>
      <c r="G1" s="1" t="s">
        <v>1</v>
      </c>
      <c r="H1" s="1" t="s">
        <v>2</v>
      </c>
      <c r="I1" s="1" t="s">
        <v>93</v>
      </c>
      <c r="K1" s="19" t="s">
        <v>89</v>
      </c>
      <c r="L1" s="20"/>
    </row>
    <row r="2" spans="1:12" x14ac:dyDescent="0.3">
      <c r="A2" s="7">
        <v>46266</v>
      </c>
      <c r="B2" s="4" t="s">
        <v>6</v>
      </c>
      <c r="C2" s="2" t="s">
        <v>4</v>
      </c>
      <c r="D2" s="2" t="s">
        <v>65</v>
      </c>
      <c r="E2" s="9">
        <v>5000</v>
      </c>
      <c r="F2" s="2" t="s">
        <v>66</v>
      </c>
      <c r="G2" s="2" t="str">
        <f>_xlfn.XLOOKUP(B2,'Client List'!A:A,'Client List'!B:B,"Not Found")</f>
        <v>Anna Santos</v>
      </c>
      <c r="H2" s="2" t="str">
        <f>_xlfn.XLOOKUP(B2,'Client List'!A:A,'Client List'!C:C,"Not Found")</f>
        <v>Santos Events</v>
      </c>
      <c r="I2" s="2" t="str">
        <f t="shared" ref="I2:I21" si="0">IF(D2="Pending","High",IF(D2="No Response","Medium","Low"))</f>
        <v>Low</v>
      </c>
      <c r="K2" s="15" t="s">
        <v>68</v>
      </c>
      <c r="L2" s="16">
        <f>COUNTIF(D2:D21,"Pending")</f>
        <v>8</v>
      </c>
    </row>
    <row r="3" spans="1:12" x14ac:dyDescent="0.3">
      <c r="A3" s="7">
        <v>46267</v>
      </c>
      <c r="B3" s="4" t="s">
        <v>11</v>
      </c>
      <c r="C3" s="2" t="s">
        <v>67</v>
      </c>
      <c r="D3" s="2" t="s">
        <v>68</v>
      </c>
      <c r="E3" s="9">
        <v>3500</v>
      </c>
      <c r="F3" s="2" t="s">
        <v>69</v>
      </c>
      <c r="G3" s="2" t="str">
        <f>_xlfn.XLOOKUP(B3,'Client List'!A:A,'Client List'!B:B,"Not Found")</f>
        <v>Mark Reyes</v>
      </c>
      <c r="H3" s="2" t="str">
        <f>_xlfn.XLOOKUP(B3,'Client List'!A:A,'Client List'!C:C,"Not Found")</f>
        <v>Reyes Realty</v>
      </c>
      <c r="I3" s="2" t="str">
        <f t="shared" si="0"/>
        <v>High</v>
      </c>
      <c r="K3" s="10" t="s">
        <v>65</v>
      </c>
      <c r="L3" s="11">
        <f>COUNTIF(D2:D21,"Completed")</f>
        <v>8</v>
      </c>
    </row>
    <row r="4" spans="1:12" x14ac:dyDescent="0.3">
      <c r="A4" s="7">
        <v>46268</v>
      </c>
      <c r="B4" s="4" t="s">
        <v>16</v>
      </c>
      <c r="C4" s="2" t="s">
        <v>4</v>
      </c>
      <c r="D4" s="2" t="s">
        <v>65</v>
      </c>
      <c r="E4" s="9">
        <v>2500</v>
      </c>
      <c r="F4" s="2" t="s">
        <v>70</v>
      </c>
      <c r="G4" s="2" t="str">
        <f>_xlfn.XLOOKUP(B4,'Client List'!A:A,'Client List'!B:B,"Not Found")</f>
        <v>Julia Cruz</v>
      </c>
      <c r="H4" s="2" t="str">
        <f>_xlfn.XLOOKUP(B4,'Client List'!A:A,'Client List'!C:C,"Not Found")</f>
        <v>Cruz Boutique</v>
      </c>
      <c r="I4" s="2" t="str">
        <f t="shared" si="0"/>
        <v>Low</v>
      </c>
      <c r="K4" s="13" t="s">
        <v>71</v>
      </c>
      <c r="L4" s="17">
        <f>COUNTIF(D2:D21,"No Response")</f>
        <v>4</v>
      </c>
    </row>
    <row r="5" spans="1:12" x14ac:dyDescent="0.3">
      <c r="A5" s="7">
        <v>46269</v>
      </c>
      <c r="B5" s="4" t="s">
        <v>21</v>
      </c>
      <c r="C5" s="2" t="s">
        <v>67</v>
      </c>
      <c r="D5" s="2" t="s">
        <v>71</v>
      </c>
      <c r="E5" s="9">
        <v>1800</v>
      </c>
      <c r="F5" s="2" t="s">
        <v>72</v>
      </c>
      <c r="G5" s="2" t="str">
        <f>_xlfn.XLOOKUP(B5,'Client List'!A:A,'Client List'!B:B,"Not Found")</f>
        <v>Daniel Garcia</v>
      </c>
      <c r="H5" s="2" t="str">
        <f>_xlfn.XLOOKUP(B5,'Client List'!A:A,'Client List'!C:C,"Not Found")</f>
        <v>Garcia Consulting</v>
      </c>
      <c r="I5" s="2" t="str">
        <f t="shared" si="0"/>
        <v>Medium</v>
      </c>
      <c r="K5" s="10"/>
      <c r="L5" s="11"/>
    </row>
    <row r="6" spans="1:12" x14ac:dyDescent="0.3">
      <c r="A6" s="7">
        <v>46270</v>
      </c>
      <c r="B6" s="4" t="s">
        <v>26</v>
      </c>
      <c r="C6" s="2" t="s">
        <v>4</v>
      </c>
      <c r="D6" s="2" t="s">
        <v>68</v>
      </c>
      <c r="E6" s="9">
        <v>4500</v>
      </c>
      <c r="F6" s="2" t="s">
        <v>73</v>
      </c>
      <c r="G6" s="2" t="str">
        <f>_xlfn.XLOOKUP(B6,'Client List'!A:A,'Client List'!B:B,"Not Found")</f>
        <v>Sofia Mendoza</v>
      </c>
      <c r="H6" s="2" t="str">
        <f>_xlfn.XLOOKUP(B6,'Client List'!A:A,'Client List'!C:C,"Not Found")</f>
        <v>Mendoza Cafe</v>
      </c>
      <c r="I6" s="2" t="str">
        <f t="shared" si="0"/>
        <v>High</v>
      </c>
      <c r="K6" s="15" t="s">
        <v>90</v>
      </c>
      <c r="L6" s="18">
        <f>SUMIF(D2:D21,"Pending",E2:E21)</f>
        <v>27600</v>
      </c>
    </row>
    <row r="7" spans="1:12" x14ac:dyDescent="0.3">
      <c r="A7" s="7">
        <v>46271</v>
      </c>
      <c r="B7" s="4" t="s">
        <v>30</v>
      </c>
      <c r="C7" s="2" t="s">
        <v>67</v>
      </c>
      <c r="D7" s="2" t="s">
        <v>65</v>
      </c>
      <c r="E7" s="9">
        <v>3000</v>
      </c>
      <c r="F7" s="2" t="s">
        <v>74</v>
      </c>
      <c r="G7" s="2" t="str">
        <f>_xlfn.XLOOKUP(B7,'Client List'!A:A,'Client List'!B:B,"Not Found")</f>
        <v>Carlo Aquino</v>
      </c>
      <c r="H7" s="2" t="str">
        <f>_xlfn.XLOOKUP(B7,'Client List'!A:A,'Client List'!C:C,"Not Found")</f>
        <v>Aquino Fitness</v>
      </c>
      <c r="I7" s="2" t="str">
        <f t="shared" si="0"/>
        <v>Low</v>
      </c>
      <c r="K7" s="10" t="s">
        <v>91</v>
      </c>
      <c r="L7" s="12">
        <f>SUMIF(D2:D21,"Completed",E2:E21)</f>
        <v>27500</v>
      </c>
    </row>
    <row r="8" spans="1:12" x14ac:dyDescent="0.3">
      <c r="A8" s="7">
        <v>46272</v>
      </c>
      <c r="B8" s="4" t="s">
        <v>34</v>
      </c>
      <c r="C8" s="2" t="s">
        <v>4</v>
      </c>
      <c r="D8" s="2" t="s">
        <v>68</v>
      </c>
      <c r="E8" s="9">
        <v>4000</v>
      </c>
      <c r="F8" s="2" t="s">
        <v>75</v>
      </c>
      <c r="G8" s="2" t="str">
        <f>_xlfn.XLOOKUP(B8,'Client List'!A:A,'Client List'!B:B,"Not Found")</f>
        <v>Mia Torres</v>
      </c>
      <c r="H8" s="2" t="str">
        <f>_xlfn.XLOOKUP(B8,'Client List'!A:A,'Client List'!C:C,"Not Found")</f>
        <v>Torres Photography</v>
      </c>
      <c r="I8" s="2" t="str">
        <f t="shared" si="0"/>
        <v>High</v>
      </c>
      <c r="K8" s="13" t="s">
        <v>92</v>
      </c>
      <c r="L8" s="14">
        <f>SUMIF(D2:D21,"No Response",E2:E21)</f>
        <v>14300</v>
      </c>
    </row>
    <row r="9" spans="1:12" x14ac:dyDescent="0.3">
      <c r="A9" s="7">
        <v>46273</v>
      </c>
      <c r="B9" s="4" t="s">
        <v>38</v>
      </c>
      <c r="C9" s="2" t="s">
        <v>67</v>
      </c>
      <c r="D9" s="2" t="s">
        <v>65</v>
      </c>
      <c r="E9" s="9">
        <v>2200</v>
      </c>
      <c r="F9" s="2" t="s">
        <v>76</v>
      </c>
      <c r="G9" s="2" t="str">
        <f>_xlfn.XLOOKUP(B9,'Client List'!A:A,'Client List'!B:B,"Not Found")</f>
        <v>Lucas Navarro</v>
      </c>
      <c r="H9" s="2" t="str">
        <f>_xlfn.XLOOKUP(B9,'Client List'!A:A,'Client List'!C:C,"Not Found")</f>
        <v>Navarro Travel</v>
      </c>
      <c r="I9" s="2" t="str">
        <f t="shared" si="0"/>
        <v>Low</v>
      </c>
    </row>
    <row r="10" spans="1:12" x14ac:dyDescent="0.3">
      <c r="A10" s="7">
        <v>46274</v>
      </c>
      <c r="B10" s="4" t="s">
        <v>42</v>
      </c>
      <c r="C10" s="2" t="s">
        <v>4</v>
      </c>
      <c r="D10" s="2" t="s">
        <v>71</v>
      </c>
      <c r="E10" s="9">
        <v>5000</v>
      </c>
      <c r="F10" s="2" t="s">
        <v>77</v>
      </c>
      <c r="G10" s="2" t="str">
        <f>_xlfn.XLOOKUP(B10,'Client List'!A:A,'Client List'!B:B,"Not Found")</f>
        <v>Bea Flores</v>
      </c>
      <c r="H10" s="2" t="str">
        <f>_xlfn.XLOOKUP(B10,'Client List'!A:A,'Client List'!C:C,"Not Found")</f>
        <v>Flores Studio</v>
      </c>
      <c r="I10" s="2" t="str">
        <f t="shared" si="0"/>
        <v>Medium</v>
      </c>
    </row>
    <row r="11" spans="1:12" x14ac:dyDescent="0.3">
      <c r="A11" s="7">
        <v>46275</v>
      </c>
      <c r="B11" s="4" t="s">
        <v>46</v>
      </c>
      <c r="C11" s="2" t="s">
        <v>67</v>
      </c>
      <c r="D11" s="2" t="s">
        <v>68</v>
      </c>
      <c r="E11" s="9">
        <v>3200</v>
      </c>
      <c r="F11" s="2" t="s">
        <v>78</v>
      </c>
      <c r="G11" s="2" t="str">
        <f>_xlfn.XLOOKUP(B11,'Client List'!A:A,'Client List'!B:B,"Not Found")</f>
        <v>Ethan Ramos</v>
      </c>
      <c r="H11" s="2" t="str">
        <f>_xlfn.XLOOKUP(B11,'Client List'!A:A,'Client List'!C:C,"Not Found")</f>
        <v>Ramos Construction</v>
      </c>
      <c r="I11" s="2" t="str">
        <f t="shared" si="0"/>
        <v>High</v>
      </c>
    </row>
    <row r="12" spans="1:12" x14ac:dyDescent="0.3">
      <c r="A12" s="7">
        <v>46276</v>
      </c>
      <c r="B12" s="4" t="s">
        <v>6</v>
      </c>
      <c r="C12" s="2" t="s">
        <v>67</v>
      </c>
      <c r="D12" s="2" t="s">
        <v>65</v>
      </c>
      <c r="E12" s="9">
        <v>5000</v>
      </c>
      <c r="F12" s="2" t="s">
        <v>79</v>
      </c>
      <c r="G12" s="2" t="str">
        <f>_xlfn.XLOOKUP(B12,'Client List'!A:A,'Client List'!B:B,"Not Found")</f>
        <v>Anna Santos</v>
      </c>
      <c r="H12" s="2" t="str">
        <f>_xlfn.XLOOKUP(B12,'Client List'!A:A,'Client List'!C:C,"Not Found")</f>
        <v>Santos Events</v>
      </c>
      <c r="I12" s="2" t="str">
        <f t="shared" si="0"/>
        <v>Low</v>
      </c>
    </row>
    <row r="13" spans="1:12" x14ac:dyDescent="0.3">
      <c r="A13" s="7">
        <v>46277</v>
      </c>
      <c r="B13" s="4" t="s">
        <v>11</v>
      </c>
      <c r="C13" s="2" t="s">
        <v>4</v>
      </c>
      <c r="D13" s="2" t="s">
        <v>71</v>
      </c>
      <c r="E13" s="9">
        <v>3500</v>
      </c>
      <c r="F13" s="2" t="s">
        <v>80</v>
      </c>
      <c r="G13" s="2" t="str">
        <f>_xlfn.XLOOKUP(B13,'Client List'!A:A,'Client List'!B:B,"Not Found")</f>
        <v>Mark Reyes</v>
      </c>
      <c r="H13" s="2" t="str">
        <f>_xlfn.XLOOKUP(B13,'Client List'!A:A,'Client List'!C:C,"Not Found")</f>
        <v>Reyes Realty</v>
      </c>
      <c r="I13" s="2" t="str">
        <f t="shared" si="0"/>
        <v>Medium</v>
      </c>
    </row>
    <row r="14" spans="1:12" x14ac:dyDescent="0.3">
      <c r="A14" s="7">
        <v>46278</v>
      </c>
      <c r="B14" s="4" t="s">
        <v>16</v>
      </c>
      <c r="C14" s="2" t="s">
        <v>67</v>
      </c>
      <c r="D14" s="2" t="s">
        <v>68</v>
      </c>
      <c r="E14" s="9">
        <v>2500</v>
      </c>
      <c r="F14" s="2" t="s">
        <v>81</v>
      </c>
      <c r="G14" s="2" t="str">
        <f>_xlfn.XLOOKUP(B14,'Client List'!A:A,'Client List'!B:B,"Not Found")</f>
        <v>Julia Cruz</v>
      </c>
      <c r="H14" s="2" t="str">
        <f>_xlfn.XLOOKUP(B14,'Client List'!A:A,'Client List'!C:C,"Not Found")</f>
        <v>Cruz Boutique</v>
      </c>
      <c r="I14" s="2" t="str">
        <f t="shared" si="0"/>
        <v>High</v>
      </c>
    </row>
    <row r="15" spans="1:12" x14ac:dyDescent="0.3">
      <c r="A15" s="7">
        <v>46279</v>
      </c>
      <c r="B15" s="4" t="s">
        <v>21</v>
      </c>
      <c r="C15" s="2" t="s">
        <v>4</v>
      </c>
      <c r="D15" s="2" t="s">
        <v>65</v>
      </c>
      <c r="E15" s="9">
        <v>1800</v>
      </c>
      <c r="F15" s="2" t="s">
        <v>82</v>
      </c>
      <c r="G15" s="2" t="str">
        <f>_xlfn.XLOOKUP(B15,'Client List'!A:A,'Client List'!B:B,"Not Found")</f>
        <v>Daniel Garcia</v>
      </c>
      <c r="H15" s="2" t="str">
        <f>_xlfn.XLOOKUP(B15,'Client List'!A:A,'Client List'!C:C,"Not Found")</f>
        <v>Garcia Consulting</v>
      </c>
      <c r="I15" s="2" t="str">
        <f t="shared" si="0"/>
        <v>Low</v>
      </c>
    </row>
    <row r="16" spans="1:12" x14ac:dyDescent="0.3">
      <c r="A16" s="7">
        <v>46280</v>
      </c>
      <c r="B16" s="4" t="s">
        <v>26</v>
      </c>
      <c r="C16" s="2" t="s">
        <v>67</v>
      </c>
      <c r="D16" s="2" t="s">
        <v>68</v>
      </c>
      <c r="E16" s="9">
        <v>4500</v>
      </c>
      <c r="F16" s="2" t="s">
        <v>83</v>
      </c>
      <c r="G16" s="2" t="str">
        <f>_xlfn.XLOOKUP(B16,'Client List'!A:A,'Client List'!B:B,"Not Found")</f>
        <v>Sofia Mendoza</v>
      </c>
      <c r="H16" s="2" t="str">
        <f>_xlfn.XLOOKUP(B16,'Client List'!A:A,'Client List'!C:C,"Not Found")</f>
        <v>Mendoza Cafe</v>
      </c>
      <c r="I16" s="2" t="str">
        <f t="shared" si="0"/>
        <v>High</v>
      </c>
    </row>
    <row r="17" spans="1:9" x14ac:dyDescent="0.3">
      <c r="A17" s="7">
        <v>46281</v>
      </c>
      <c r="B17" s="4" t="s">
        <v>30</v>
      </c>
      <c r="C17" s="2" t="s">
        <v>4</v>
      </c>
      <c r="D17" s="2" t="s">
        <v>65</v>
      </c>
      <c r="E17" s="9">
        <v>3000</v>
      </c>
      <c r="F17" s="2" t="s">
        <v>84</v>
      </c>
      <c r="G17" s="2" t="str">
        <f>_xlfn.XLOOKUP(B17,'Client List'!A:A,'Client List'!B:B,"Not Found")</f>
        <v>Carlo Aquino</v>
      </c>
      <c r="H17" s="2" t="str">
        <f>_xlfn.XLOOKUP(B17,'Client List'!A:A,'Client List'!C:C,"Not Found")</f>
        <v>Aquino Fitness</v>
      </c>
      <c r="I17" s="2" t="str">
        <f t="shared" si="0"/>
        <v>Low</v>
      </c>
    </row>
    <row r="18" spans="1:9" x14ac:dyDescent="0.3">
      <c r="A18" s="7">
        <v>46282</v>
      </c>
      <c r="B18" s="4" t="s">
        <v>34</v>
      </c>
      <c r="C18" s="2" t="s">
        <v>67</v>
      </c>
      <c r="D18" s="2" t="s">
        <v>71</v>
      </c>
      <c r="E18" s="9">
        <v>4000</v>
      </c>
      <c r="F18" s="2" t="s">
        <v>85</v>
      </c>
      <c r="G18" s="2" t="str">
        <f>_xlfn.XLOOKUP(B18,'Client List'!A:A,'Client List'!B:B,"Not Found")</f>
        <v>Mia Torres</v>
      </c>
      <c r="H18" s="2" t="str">
        <f>_xlfn.XLOOKUP(B18,'Client List'!A:A,'Client List'!C:C,"Not Found")</f>
        <v>Torres Photography</v>
      </c>
      <c r="I18" s="2" t="str">
        <f t="shared" si="0"/>
        <v>Medium</v>
      </c>
    </row>
    <row r="19" spans="1:9" x14ac:dyDescent="0.3">
      <c r="A19" s="7">
        <v>46283</v>
      </c>
      <c r="B19" s="4" t="s">
        <v>38</v>
      </c>
      <c r="C19" s="2" t="s">
        <v>4</v>
      </c>
      <c r="D19" s="2" t="s">
        <v>68</v>
      </c>
      <c r="E19" s="9">
        <v>2200</v>
      </c>
      <c r="F19" s="2" t="s">
        <v>86</v>
      </c>
      <c r="G19" s="2" t="str">
        <f>_xlfn.XLOOKUP(B19,'Client List'!A:A,'Client List'!B:B,"Not Found")</f>
        <v>Lucas Navarro</v>
      </c>
      <c r="H19" s="2" t="str">
        <f>_xlfn.XLOOKUP(B19,'Client List'!A:A,'Client List'!C:C,"Not Found")</f>
        <v>Navarro Travel</v>
      </c>
      <c r="I19" s="2" t="str">
        <f t="shared" si="0"/>
        <v>High</v>
      </c>
    </row>
    <row r="20" spans="1:9" x14ac:dyDescent="0.3">
      <c r="A20" s="7">
        <v>46284</v>
      </c>
      <c r="B20" s="4" t="s">
        <v>42</v>
      </c>
      <c r="C20" s="2" t="s">
        <v>67</v>
      </c>
      <c r="D20" s="2" t="s">
        <v>65</v>
      </c>
      <c r="E20" s="9">
        <v>5000</v>
      </c>
      <c r="F20" s="2" t="s">
        <v>87</v>
      </c>
      <c r="G20" s="2" t="str">
        <f>_xlfn.XLOOKUP(B20,'Client List'!A:A,'Client List'!B:B,"Not Found")</f>
        <v>Bea Flores</v>
      </c>
      <c r="H20" s="2" t="str">
        <f>_xlfn.XLOOKUP(B20,'Client List'!A:A,'Client List'!C:C,"Not Found")</f>
        <v>Flores Studio</v>
      </c>
      <c r="I20" s="2" t="str">
        <f t="shared" si="0"/>
        <v>Low</v>
      </c>
    </row>
    <row r="21" spans="1:9" x14ac:dyDescent="0.3">
      <c r="A21" s="7">
        <v>46285</v>
      </c>
      <c r="B21" s="4" t="s">
        <v>46</v>
      </c>
      <c r="C21" s="2" t="s">
        <v>4</v>
      </c>
      <c r="D21" s="2" t="s">
        <v>68</v>
      </c>
      <c r="E21" s="9">
        <v>3200</v>
      </c>
      <c r="F21" s="2" t="s">
        <v>88</v>
      </c>
      <c r="G21" s="2" t="str">
        <f>_xlfn.XLOOKUP(B21,'Client List'!A:A,'Client List'!B:B,"Not Found")</f>
        <v>Ethan Ramos</v>
      </c>
      <c r="H21" s="2" t="str">
        <f>_xlfn.XLOOKUP(B21,'Client List'!A:A,'Client List'!C:C,"Not Found")</f>
        <v>Ramos Construction</v>
      </c>
      <c r="I21" s="2" t="str">
        <f t="shared" si="0"/>
        <v>High</v>
      </c>
    </row>
  </sheetData>
  <mergeCells count="1">
    <mergeCell ref="K1:L1"/>
  </mergeCells>
  <conditionalFormatting sqref="D2:D21">
    <cfRule type="containsText" dxfId="6" priority="2" operator="containsText" text="Pending">
      <formula>NOT(ISERROR(SEARCH("Pending",D2)))</formula>
    </cfRule>
    <cfRule type="containsText" dxfId="5" priority="3" operator="containsText" text="No Response">
      <formula>NOT(ISERROR(SEARCH("No Response",D2)))</formula>
    </cfRule>
    <cfRule type="containsText" dxfId="4" priority="4" operator="containsText" text="Completed">
      <formula>NOT(ISERROR(SEARCH("Completed",D2)))</formula>
    </cfRule>
    <cfRule type="containsText" dxfId="3" priority="5" operator="containsText" text="Pending">
      <formula>NOT(ISERROR(SEARCH("Pending",D2)))</formula>
    </cfRule>
    <cfRule type="containsText" dxfId="2" priority="6" operator="containsText" text="Pending">
      <formula>NOT(ISERROR(SEARCH("Pending",D2)))</formula>
    </cfRule>
  </conditionalFormatting>
  <conditionalFormatting sqref="A2:A21">
    <cfRule type="cellIs" dxfId="1" priority="1" operator="lessThan">
      <formula>TODAY()</formula>
    </cfRule>
  </conditionalFormatting>
  <dataValidations count="2">
    <dataValidation type="list" allowBlank="1" showInputMessage="1" showErrorMessage="1" sqref="D1:D21" xr:uid="{9477F834-5FA5-4D72-9BD8-E8FC4CE6838C}">
      <formula1>"No Response,Pending,Completed"</formula1>
    </dataValidation>
    <dataValidation type="list" allowBlank="1" showInputMessage="1" showErrorMessage="1" sqref="C1:C21" xr:uid="{BF0EAAD2-FF14-4F6B-842A-64979E84B0EB}">
      <formula1>"Call,Email"</formula1>
    </dataValidation>
  </dataValidations>
  <pageMargins left="0.7" right="0.7" top="0.75" bottom="0.75" header="0.3" footer="0.3"/>
  <ignoredErrors>
    <ignoredError sqref="D1:D21 C1:C21" listDataValidatio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List</vt:lpstr>
      <vt:lpstr>Follow-Up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Iverene Grace Causapin</dc:creator>
  <cp:lastModifiedBy>Iverene Grace Causapin</cp:lastModifiedBy>
  <dcterms:created xsi:type="dcterms:W3CDTF">2026-09-07T06:24:17Z</dcterms:created>
  <dcterms:modified xsi:type="dcterms:W3CDTF">2026-09-07T06:53:10Z</dcterms:modified>
</cp:coreProperties>
</file>