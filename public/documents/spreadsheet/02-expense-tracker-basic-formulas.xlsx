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rene Grace\Virtual Assistant Files\Portfolio\Data and Spreadsheet Management\"/>
    </mc:Choice>
  </mc:AlternateContent>
  <xr:revisionPtr revIDLastSave="0" documentId="8_{C413D748-F145-47F4-87CB-E263B958CB50}" xr6:coauthVersionLast="47" xr6:coauthVersionMax="47" xr10:uidLastSave="{00000000-0000-0000-0000-000000000000}"/>
  <bookViews>
    <workbookView xWindow="-108" yWindow="-108" windowWidth="23256" windowHeight="13176" xr2:uid="{C2A25F31-4EB9-4489-B5E0-4BA27655B662}"/>
  </bookViews>
  <sheets>
    <sheet name="Expense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<sst xmlns="http://schemas.openxmlformats.org/spreadsheetml/2006/main" count="102" uniqueCount="37">
  <si>
    <t>Date</t>
  </si>
  <si>
    <t>Category</t>
  </si>
  <si>
    <t>Description</t>
  </si>
  <si>
    <t>Amount</t>
  </si>
  <si>
    <t>Type</t>
  </si>
  <si>
    <t>Food</t>
  </si>
  <si>
    <t>Lunch</t>
  </si>
  <si>
    <t>Needs</t>
  </si>
  <si>
    <t>Transportation</t>
  </si>
  <si>
    <t>Jeepney</t>
  </si>
  <si>
    <t>School</t>
  </si>
  <si>
    <t>Printing</t>
  </si>
  <si>
    <t>Snacks</t>
  </si>
  <si>
    <t>Wants</t>
  </si>
  <si>
    <t>Bills</t>
  </si>
  <si>
    <t>Mobile Load</t>
  </si>
  <si>
    <t>Personal</t>
  </si>
  <si>
    <t>Skincare</t>
  </si>
  <si>
    <t>Tricycle</t>
  </si>
  <si>
    <t>Dinner</t>
  </si>
  <si>
    <t>Notebook</t>
  </si>
  <si>
    <t>Entertainment</t>
  </si>
  <si>
    <t>Movie</t>
  </si>
  <si>
    <t>Accessories</t>
  </si>
  <si>
    <t>Internet Share</t>
  </si>
  <si>
    <t>Project Materials</t>
  </si>
  <si>
    <t>Coffee</t>
  </si>
  <si>
    <t>Makeup</t>
  </si>
  <si>
    <t>Streaming</t>
  </si>
  <si>
    <t>Supplies</t>
  </si>
  <si>
    <t>September 2026 Expense Summary</t>
  </si>
  <si>
    <t>Total Expenses</t>
  </si>
  <si>
    <t>Average Expense</t>
  </si>
  <si>
    <t>Number of Expenses</t>
  </si>
  <si>
    <t>Number of Descriptions</t>
  </si>
  <si>
    <t>Lowest Expense</t>
  </si>
  <si>
    <t>Highest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</si>
</sst>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mm/dd/yyyy;@"/>
    <numFmt numFmtId="171" formatCode="&quot;₱&quot;#,##0.00"/>
  </numFmts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right" vertical="center"/>
    </xf>
    <xf numFmtId="171" fontId="0" fillId="0" borderId="0" xfId="0" applyNumberFormat="1"/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 vertic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171" fontId="0" fillId="0" borderId="5" xfId="0" applyNumberFormat="1" applyBorder="1"/>
    <xf numFmtId="171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71" fontId="0" fillId="0" borderId="7" xfId="0" applyNumberFormat="1" applyBorder="1"/>
    <xf numFmtId="0" fontId="0" fillId="0" borderId="4" xfId="0" applyFont="1" applyBorder="1"/>
    <xf numFmtId="0" fontId="0" fillId="0" borderId="4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</cellXfs>
  <cellStyles count="2">
    <cellStyle name="Heading 1" xfId="1" builtinId="16"/>
    <cellStyle name="Normal" xfId="0" builtinId="0"/>
  </cellStyles>
  <dxfs count="7">
    <dxf>
      <numFmt numFmtId="170" formatCode="mm/dd/yyyy;@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71" formatCode="&quot;₱&quot;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190FE-2632-4531-B1CA-A378B71D88EA}" name="Table1" displayName="Table1" ref="A1:E31" totalsRowShown="0" headerRowDxfId="5" dataDxfId="6">
  <autoFilter ref="A1:E31" xr:uid="{AEA190FE-2632-4531-B1CA-A378B71D88EA}"/>
  <sortState xmlns:xlrd2="http://schemas.microsoft.com/office/spreadsheetml/2017/richdata2" ref="A2:E31">
    <sortCondition ref="A1:A31"/>
  </sortState>
  <tableColumns count="5">
    <tableColumn id="1" xr3:uid="{5873D2C6-E386-41BE-B72B-E77C60947A65}" name="Date" dataDxfId="0"/>
    <tableColumn id="2" xr3:uid="{D99BD1CC-4C0E-45A4-81F5-51B78077D5B4}" name="Category" dataDxfId="1"/>
    <tableColumn id="3" xr3:uid="{851A0F45-746E-4628-A21B-29B0A21BECB7}" name="Description" dataDxfId="4"/>
    <tableColumn id="4" xr3:uid="{7E3F2449-574B-452F-95DD-0B92B328D3A7}" name="Amount" dataDxfId="2"/>
    <tableColumn id="5" xr3:uid="{BAAC6F2B-6A86-40E5-A54C-47EBFF9908D7}" name="Type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0488-9F48-41D3-A584-88F729491DE2}">
  <dimension ref="A1:I31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4.4" x14ac:dyDescent="0.3"/>
  <cols>
    <col min="1" max="1" width="18.33203125" style="7" customWidth="1"/>
    <col min="2" max="2" width="19.5546875" customWidth="1"/>
    <col min="3" max="3" width="19.44140625" customWidth="1"/>
    <col min="4" max="4" width="15.109375" style="6" customWidth="1"/>
    <col min="5" max="5" width="15.44140625" customWidth="1"/>
    <col min="8" max="8" width="32.6640625" customWidth="1"/>
    <col min="9" max="9" width="18.44140625" customWidth="1"/>
  </cols>
  <sheetData>
    <row r="1" spans="1:9" ht="19.8" x14ac:dyDescent="0.4">
      <c r="A1" s="3" t="s">
        <v>0</v>
      </c>
      <c r="B1" s="2" t="s">
        <v>1</v>
      </c>
      <c r="C1" s="2" t="s">
        <v>2</v>
      </c>
      <c r="D1" s="4" t="s">
        <v>3</v>
      </c>
      <c r="E1" s="2" t="s">
        <v>4</v>
      </c>
      <c r="H1" s="9" t="s">
        <v>30</v>
      </c>
      <c r="I1" s="10"/>
    </row>
    <row r="2" spans="1:9" x14ac:dyDescent="0.3">
      <c r="A2" s="8">
        <v>46031</v>
      </c>
      <c r="B2" s="1" t="s">
        <v>5</v>
      </c>
      <c r="C2" s="1" t="s">
        <v>6</v>
      </c>
      <c r="D2" s="5">
        <v>120</v>
      </c>
      <c r="E2" s="1" t="s">
        <v>7</v>
      </c>
      <c r="H2" s="15" t="s">
        <v>31</v>
      </c>
      <c r="I2" s="11">
        <f>SUM(D12:D31)</f>
        <v>2765</v>
      </c>
    </row>
    <row r="3" spans="1:9" x14ac:dyDescent="0.3">
      <c r="A3" s="8">
        <v>46031</v>
      </c>
      <c r="B3" s="1" t="s">
        <v>5</v>
      </c>
      <c r="C3" s="1" t="s">
        <v>6</v>
      </c>
      <c r="D3" s="5">
        <v>130</v>
      </c>
      <c r="E3" s="1" t="s">
        <v>7</v>
      </c>
      <c r="H3" s="16" t="s">
        <v>32</v>
      </c>
      <c r="I3" s="12">
        <f>AVERAGE(D12:D31)</f>
        <v>138.25</v>
      </c>
    </row>
    <row r="4" spans="1:9" x14ac:dyDescent="0.3">
      <c r="A4" s="8">
        <v>46062</v>
      </c>
      <c r="B4" s="1" t="s">
        <v>8</v>
      </c>
      <c r="C4" s="1" t="s">
        <v>9</v>
      </c>
      <c r="D4" s="5">
        <v>40</v>
      </c>
      <c r="E4" s="1" t="s">
        <v>7</v>
      </c>
      <c r="H4" s="16" t="s">
        <v>33</v>
      </c>
      <c r="I4" s="13">
        <f>COUNT(D12:D31)</f>
        <v>20</v>
      </c>
    </row>
    <row r="5" spans="1:9" x14ac:dyDescent="0.3">
      <c r="A5" s="8">
        <v>46062</v>
      </c>
      <c r="B5" s="1" t="s">
        <v>8</v>
      </c>
      <c r="C5" s="1" t="s">
        <v>9</v>
      </c>
      <c r="D5" s="5">
        <v>50</v>
      </c>
      <c r="E5" s="1" t="s">
        <v>7</v>
      </c>
      <c r="H5" s="16" t="s">
        <v>34</v>
      </c>
      <c r="I5" s="13">
        <f>COUNTA(C12:C31)</f>
        <v>20</v>
      </c>
    </row>
    <row r="6" spans="1:9" x14ac:dyDescent="0.3">
      <c r="A6" s="8">
        <v>46090</v>
      </c>
      <c r="B6" s="1" t="s">
        <v>10</v>
      </c>
      <c r="C6" s="1" t="s">
        <v>11</v>
      </c>
      <c r="D6" s="5">
        <v>85</v>
      </c>
      <c r="E6" s="1" t="s">
        <v>7</v>
      </c>
      <c r="H6" s="16" t="s">
        <v>35</v>
      </c>
      <c r="I6" s="12">
        <f>MIN(D12:D31)</f>
        <v>45</v>
      </c>
    </row>
    <row r="7" spans="1:9" ht="15" thickBot="1" x14ac:dyDescent="0.35">
      <c r="A7" s="8">
        <v>46121</v>
      </c>
      <c r="B7" s="1" t="s">
        <v>5</v>
      </c>
      <c r="C7" s="1" t="s">
        <v>12</v>
      </c>
      <c r="D7" s="5">
        <v>65</v>
      </c>
      <c r="E7" s="1" t="s">
        <v>13</v>
      </c>
      <c r="H7" s="17" t="s">
        <v>36</v>
      </c>
      <c r="I7" s="14">
        <f>MAX(D12:D31)</f>
        <v>300</v>
      </c>
    </row>
    <row r="8" spans="1:9" x14ac:dyDescent="0.3">
      <c r="A8" s="8">
        <v>46151</v>
      </c>
      <c r="B8" s="1" t="s">
        <v>14</v>
      </c>
      <c r="C8" s="1" t="s">
        <v>15</v>
      </c>
      <c r="D8" s="5">
        <v>100</v>
      </c>
      <c r="E8" s="1" t="s">
        <v>7</v>
      </c>
    </row>
    <row r="9" spans="1:9" x14ac:dyDescent="0.3">
      <c r="A9" s="8">
        <v>46182</v>
      </c>
      <c r="B9" s="1" t="s">
        <v>16</v>
      </c>
      <c r="C9" s="1" t="s">
        <v>17</v>
      </c>
      <c r="D9" s="5">
        <v>250</v>
      </c>
      <c r="E9" s="1" t="s">
        <v>13</v>
      </c>
    </row>
    <row r="10" spans="1:9" x14ac:dyDescent="0.3">
      <c r="A10" s="8">
        <v>46212</v>
      </c>
      <c r="B10" s="1" t="s">
        <v>8</v>
      </c>
      <c r="C10" s="1" t="s">
        <v>18</v>
      </c>
      <c r="D10" s="5">
        <v>60</v>
      </c>
      <c r="E10" s="1" t="s">
        <v>7</v>
      </c>
    </row>
    <row r="11" spans="1:9" x14ac:dyDescent="0.3">
      <c r="A11" s="8">
        <v>46243</v>
      </c>
      <c r="B11" s="1" t="s">
        <v>5</v>
      </c>
      <c r="C11" s="1" t="s">
        <v>19</v>
      </c>
      <c r="D11" s="5">
        <v>180</v>
      </c>
      <c r="E11" s="1" t="s">
        <v>7</v>
      </c>
    </row>
    <row r="12" spans="1:9" x14ac:dyDescent="0.3">
      <c r="A12" s="8">
        <v>46274</v>
      </c>
      <c r="B12" s="1" t="s">
        <v>10</v>
      </c>
      <c r="C12" s="1" t="s">
        <v>20</v>
      </c>
      <c r="D12" s="5">
        <v>75</v>
      </c>
      <c r="E12" s="1" t="s">
        <v>7</v>
      </c>
    </row>
    <row r="13" spans="1:9" x14ac:dyDescent="0.3">
      <c r="A13" s="8">
        <v>46274</v>
      </c>
      <c r="B13" s="1" t="s">
        <v>21</v>
      </c>
      <c r="C13" s="1" t="s">
        <v>22</v>
      </c>
      <c r="D13" s="5">
        <v>250</v>
      </c>
      <c r="E13" s="1" t="s">
        <v>13</v>
      </c>
    </row>
    <row r="14" spans="1:9" x14ac:dyDescent="0.3">
      <c r="A14" s="8">
        <v>46278</v>
      </c>
      <c r="B14" s="1" t="s">
        <v>16</v>
      </c>
      <c r="C14" s="1" t="s">
        <v>23</v>
      </c>
      <c r="D14" s="5">
        <v>180</v>
      </c>
      <c r="E14" s="1" t="s">
        <v>13</v>
      </c>
    </row>
    <row r="15" spans="1:9" x14ac:dyDescent="0.3">
      <c r="A15" s="8">
        <v>46279</v>
      </c>
      <c r="B15" s="1" t="s">
        <v>14</v>
      </c>
      <c r="C15" s="1" t="s">
        <v>24</v>
      </c>
      <c r="D15" s="5">
        <v>300</v>
      </c>
      <c r="E15" s="1" t="s">
        <v>7</v>
      </c>
    </row>
    <row r="16" spans="1:9" x14ac:dyDescent="0.3">
      <c r="A16" s="8">
        <v>46280</v>
      </c>
      <c r="B16" s="1" t="s">
        <v>5</v>
      </c>
      <c r="C16" s="1" t="s">
        <v>12</v>
      </c>
      <c r="D16" s="5">
        <v>70</v>
      </c>
      <c r="E16" s="1" t="s">
        <v>13</v>
      </c>
    </row>
    <row r="17" spans="1:5" x14ac:dyDescent="0.3">
      <c r="A17" s="8">
        <v>46281</v>
      </c>
      <c r="B17" s="1" t="s">
        <v>10</v>
      </c>
      <c r="C17" s="1" t="s">
        <v>25</v>
      </c>
      <c r="D17" s="5">
        <v>220</v>
      </c>
      <c r="E17" s="1" t="s">
        <v>7</v>
      </c>
    </row>
    <row r="18" spans="1:5" x14ac:dyDescent="0.3">
      <c r="A18" s="8">
        <v>46282</v>
      </c>
      <c r="B18" s="1" t="s">
        <v>8</v>
      </c>
      <c r="C18" s="1" t="s">
        <v>18</v>
      </c>
      <c r="D18" s="5">
        <v>70</v>
      </c>
      <c r="E18" s="1" t="s">
        <v>7</v>
      </c>
    </row>
    <row r="19" spans="1:5" x14ac:dyDescent="0.3">
      <c r="A19" s="8">
        <v>46283</v>
      </c>
      <c r="B19" s="1" t="s">
        <v>5</v>
      </c>
      <c r="C19" s="1" t="s">
        <v>19</v>
      </c>
      <c r="D19" s="5">
        <v>160</v>
      </c>
      <c r="E19" s="1" t="s">
        <v>7</v>
      </c>
    </row>
    <row r="20" spans="1:5" x14ac:dyDescent="0.3">
      <c r="A20" s="8">
        <v>46284</v>
      </c>
      <c r="B20" s="1" t="s">
        <v>21</v>
      </c>
      <c r="C20" s="1" t="s">
        <v>26</v>
      </c>
      <c r="D20" s="5">
        <v>140</v>
      </c>
      <c r="E20" s="1" t="s">
        <v>13</v>
      </c>
    </row>
    <row r="21" spans="1:5" x14ac:dyDescent="0.3">
      <c r="A21" s="8">
        <v>46285</v>
      </c>
      <c r="B21" s="1" t="s">
        <v>16</v>
      </c>
      <c r="C21" s="1" t="s">
        <v>27</v>
      </c>
      <c r="D21" s="5">
        <v>200</v>
      </c>
      <c r="E21" s="1" t="s">
        <v>13</v>
      </c>
    </row>
    <row r="22" spans="1:5" x14ac:dyDescent="0.3">
      <c r="A22" s="8">
        <v>46286</v>
      </c>
      <c r="B22" s="1" t="s">
        <v>5</v>
      </c>
      <c r="C22" s="1" t="s">
        <v>6</v>
      </c>
      <c r="D22" s="5">
        <v>125</v>
      </c>
      <c r="E22" s="1" t="s">
        <v>7</v>
      </c>
    </row>
    <row r="23" spans="1:5" x14ac:dyDescent="0.3">
      <c r="A23" s="8">
        <v>46287</v>
      </c>
      <c r="B23" s="1" t="s">
        <v>8</v>
      </c>
      <c r="C23" s="1" t="s">
        <v>9</v>
      </c>
      <c r="D23" s="5">
        <v>45</v>
      </c>
      <c r="E23" s="1" t="s">
        <v>7</v>
      </c>
    </row>
    <row r="24" spans="1:5" x14ac:dyDescent="0.3">
      <c r="A24" s="8">
        <v>46288</v>
      </c>
      <c r="B24" s="1" t="s">
        <v>10</v>
      </c>
      <c r="C24" s="1" t="s">
        <v>11</v>
      </c>
      <c r="D24" s="5">
        <v>90</v>
      </c>
      <c r="E24" s="1" t="s">
        <v>7</v>
      </c>
    </row>
    <row r="25" spans="1:5" x14ac:dyDescent="0.3">
      <c r="A25" s="8">
        <v>46289</v>
      </c>
      <c r="B25" s="1" t="s">
        <v>5</v>
      </c>
      <c r="C25" s="1" t="s">
        <v>12</v>
      </c>
      <c r="D25" s="5">
        <v>60</v>
      </c>
      <c r="E25" s="1" t="s">
        <v>13</v>
      </c>
    </row>
    <row r="26" spans="1:5" x14ac:dyDescent="0.3">
      <c r="A26" s="8">
        <v>46290</v>
      </c>
      <c r="B26" s="1" t="s">
        <v>14</v>
      </c>
      <c r="C26" s="1" t="s">
        <v>15</v>
      </c>
      <c r="D26" s="5">
        <v>100</v>
      </c>
      <c r="E26" s="1" t="s">
        <v>7</v>
      </c>
    </row>
    <row r="27" spans="1:5" x14ac:dyDescent="0.3">
      <c r="A27" s="8">
        <v>46291</v>
      </c>
      <c r="B27" s="1" t="s">
        <v>16</v>
      </c>
      <c r="C27" s="1" t="s">
        <v>17</v>
      </c>
      <c r="D27" s="5">
        <v>150</v>
      </c>
      <c r="E27" s="1" t="s">
        <v>13</v>
      </c>
    </row>
    <row r="28" spans="1:5" x14ac:dyDescent="0.3">
      <c r="A28" s="8">
        <v>46292</v>
      </c>
      <c r="B28" s="1" t="s">
        <v>8</v>
      </c>
      <c r="C28" s="1" t="s">
        <v>18</v>
      </c>
      <c r="D28" s="5">
        <v>65</v>
      </c>
      <c r="E28" s="1" t="s">
        <v>7</v>
      </c>
    </row>
    <row r="29" spans="1:5" x14ac:dyDescent="0.3">
      <c r="A29" s="8">
        <v>46293</v>
      </c>
      <c r="B29" s="1" t="s">
        <v>5</v>
      </c>
      <c r="C29" s="1" t="s">
        <v>19</v>
      </c>
      <c r="D29" s="5">
        <v>175</v>
      </c>
      <c r="E29" s="1" t="s">
        <v>7</v>
      </c>
    </row>
    <row r="30" spans="1:5" x14ac:dyDescent="0.3">
      <c r="A30" s="8">
        <v>46294</v>
      </c>
      <c r="B30" s="1" t="s">
        <v>21</v>
      </c>
      <c r="C30" s="1" t="s">
        <v>28</v>
      </c>
      <c r="D30" s="5">
        <v>180</v>
      </c>
      <c r="E30" s="1" t="s">
        <v>13</v>
      </c>
    </row>
    <row r="31" spans="1:5" x14ac:dyDescent="0.3">
      <c r="A31" s="8">
        <v>46295</v>
      </c>
      <c r="B31" s="1" t="s">
        <v>10</v>
      </c>
      <c r="C31" s="1" t="s">
        <v>29</v>
      </c>
      <c r="D31" s="5">
        <v>110</v>
      </c>
      <c r="E31" s="1" t="s">
        <v>7</v>
      </c>
    </row>
  </sheetData>
  <mergeCells count="1">
    <mergeCell ref="H1:I1"/>
  </mergeCells>
  <dataValidations disablePrompts="1" count="2">
    <dataValidation type="list" allowBlank="1" showInputMessage="1" showErrorMessage="1" sqref="E1:E1048576" xr:uid="{AB7B03B5-9478-4D71-BA31-E8664BD2EB93}">
      <formula1>"Needs,Wants"</formula1>
    </dataValidation>
    <dataValidation type="list" allowBlank="1" showInputMessage="1" showErrorMessage="1" sqref="B2:B31" xr:uid="{94FF2690-8418-4133-B1FD-B960877CE654}">
      <formula1>"Food,Transportation,School,Bills,Personal,Entertainment"</formula1>
    </dataValidation>
  </dataValidations>
  <pageMargins left="0.7" right="0.7" top="0.75" bottom="0.75" header="0.3" footer="0.3"/>
  <ignoredErrors>
    <ignoredError sqref="B1 E1" listDataValidation="1"/>
    <ignoredError sqref="I2:I4 I6:I7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Iverene Grace Causapin</dc:creator>
  <cp:lastModifiedBy>Iverene Grace Causapin</cp:lastModifiedBy>
  <dcterms:created xsi:type="dcterms:W3CDTF">2026-09-07T05:44:14Z</dcterms:created>
  <dcterms:modified xsi:type="dcterms:W3CDTF">2026-09-07T06:19:03Z</dcterms:modified>
</cp:coreProperties>
</file>